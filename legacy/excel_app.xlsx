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220a62eb6886a74/Documents/"/>
    </mc:Choice>
  </mc:AlternateContent>
  <xr:revisionPtr revIDLastSave="364" documentId="8_{5255E1AE-D6C0-433F-9FF6-D0D1D90EDAFE}" xr6:coauthVersionLast="47" xr6:coauthVersionMax="47" xr10:uidLastSave="{FA474AA9-EC54-4A7F-A7DF-B57116830761}"/>
  <bookViews>
    <workbookView xWindow="810" yWindow="-120" windowWidth="23310" windowHeight="13740" tabRatio="598" xr2:uid="{00000000-000D-0000-FFFF-FFFF00000000}"/>
  </bookViews>
  <sheets>
    <sheet name="DESP_JANEIRO" sheetId="4" r:id="rId1"/>
    <sheet name="PLAN2" sheetId="9" r:id="rId2"/>
    <sheet name="TUTORIAL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9" i="4" l="1"/>
  <c r="O159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AB159" i="4"/>
  <c r="AC159" i="4"/>
  <c r="AD159" i="4"/>
  <c r="AE159" i="4"/>
  <c r="AF159" i="4"/>
  <c r="AG159" i="4"/>
  <c r="AH159" i="4"/>
  <c r="AI159" i="4"/>
  <c r="AJ159" i="4"/>
  <c r="AK159" i="4"/>
  <c r="AL159" i="4"/>
  <c r="AM159" i="4"/>
  <c r="I159" i="4"/>
  <c r="J159" i="4"/>
  <c r="K159" i="4"/>
  <c r="L159" i="4"/>
  <c r="M159" i="4"/>
  <c r="AL158" i="9"/>
  <c r="AK158" i="9"/>
  <c r="AJ158" i="9"/>
  <c r="AI158" i="9"/>
  <c r="AH158" i="9"/>
  <c r="AG158" i="9"/>
  <c r="AF158" i="9"/>
  <c r="AE158" i="9"/>
  <c r="AD158" i="9"/>
  <c r="AC158" i="9"/>
  <c r="AB158" i="9"/>
  <c r="AA158" i="9"/>
  <c r="Z158" i="9"/>
  <c r="Y158" i="9"/>
  <c r="X158" i="9"/>
  <c r="W158" i="9"/>
  <c r="V158" i="9"/>
  <c r="U158" i="9"/>
  <c r="T158" i="9"/>
  <c r="S158" i="9"/>
  <c r="R158" i="9"/>
  <c r="Q158" i="9"/>
  <c r="P158" i="9"/>
  <c r="O158" i="9"/>
  <c r="N158" i="9"/>
  <c r="M158" i="9"/>
  <c r="L158" i="9"/>
  <c r="K158" i="9"/>
  <c r="J158" i="9"/>
  <c r="I158" i="9"/>
  <c r="H158" i="9"/>
  <c r="B98" i="4"/>
  <c r="AO152" i="4"/>
  <c r="AO151" i="4"/>
  <c r="AO150" i="4"/>
  <c r="AO149" i="4"/>
  <c r="AO148" i="4"/>
  <c r="AO147" i="4"/>
  <c r="AO146" i="4"/>
  <c r="AO145" i="4"/>
  <c r="AO144" i="4"/>
  <c r="AO143" i="4"/>
  <c r="AO142" i="4"/>
  <c r="AO141" i="4"/>
  <c r="AO140" i="4"/>
  <c r="AO137" i="4"/>
  <c r="AO136" i="4"/>
  <c r="AO135" i="4"/>
  <c r="AO134" i="4"/>
  <c r="AO133" i="4"/>
  <c r="AO130" i="4"/>
  <c r="AO129" i="4"/>
  <c r="AO128" i="4"/>
  <c r="AO127" i="4"/>
  <c r="AO126" i="4"/>
  <c r="AO125" i="4"/>
  <c r="AO124" i="4"/>
  <c r="AO121" i="4"/>
  <c r="AO120" i="4"/>
  <c r="AO119" i="4"/>
  <c r="AO118" i="4"/>
  <c r="AO117" i="4"/>
  <c r="AO116" i="4"/>
  <c r="AO115" i="4"/>
  <c r="AO114" i="4"/>
  <c r="AO111" i="4"/>
  <c r="AO110" i="4"/>
  <c r="AO109" i="4"/>
  <c r="AO108" i="4"/>
  <c r="AO107" i="4"/>
  <c r="AO106" i="4"/>
  <c r="AO103" i="4"/>
  <c r="AO102" i="4"/>
  <c r="AO101" i="4"/>
  <c r="AO100" i="4"/>
  <c r="AO97" i="4"/>
  <c r="AO96" i="4"/>
  <c r="AO95" i="4"/>
  <c r="AO94" i="4"/>
  <c r="AO93" i="4"/>
  <c r="AO92" i="4"/>
  <c r="AO91" i="4"/>
  <c r="AO88" i="4"/>
  <c r="AO87" i="4"/>
  <c r="AO86" i="4"/>
  <c r="AO85" i="4"/>
  <c r="AO84" i="4"/>
  <c r="AO83" i="4"/>
  <c r="AO82" i="4"/>
  <c r="AO81" i="4"/>
  <c r="AO80" i="4"/>
  <c r="AO79" i="4"/>
  <c r="AO78" i="4"/>
  <c r="AO77" i="4"/>
  <c r="AO76" i="4"/>
  <c r="AO75" i="4"/>
  <c r="AO74" i="4"/>
  <c r="AO153" i="4" s="1"/>
  <c r="B154" i="4" s="1"/>
  <c r="AO73" i="4"/>
  <c r="AO72" i="4"/>
  <c r="AO71" i="4"/>
  <c r="AO70" i="4"/>
  <c r="AO69" i="4"/>
  <c r="AO66" i="4"/>
  <c r="AO65" i="4"/>
  <c r="AO64" i="4"/>
  <c r="AO63" i="4"/>
  <c r="AO62" i="4"/>
  <c r="AO61" i="4"/>
  <c r="AO60" i="4"/>
  <c r="AO59" i="4"/>
  <c r="AO58" i="4"/>
  <c r="AO57" i="4"/>
  <c r="AO56" i="4"/>
  <c r="AO55" i="4"/>
  <c r="AO54" i="4"/>
  <c r="AO53" i="4"/>
  <c r="AO52" i="4"/>
  <c r="AO51" i="4"/>
  <c r="AO50" i="4"/>
  <c r="AO49" i="4"/>
  <c r="AO48" i="4"/>
  <c r="AO47" i="4"/>
  <c r="AO46" i="4"/>
  <c r="AO43" i="4"/>
  <c r="AO42" i="4"/>
  <c r="AO41" i="4"/>
  <c r="AO40" i="4"/>
  <c r="AO39" i="4"/>
  <c r="AO38" i="4"/>
  <c r="AO37" i="4"/>
  <c r="AO36" i="4"/>
  <c r="AO35" i="4"/>
  <c r="AO34" i="4"/>
  <c r="AO33" i="4"/>
  <c r="AO32" i="4"/>
  <c r="AO31" i="4"/>
  <c r="AO30" i="4"/>
  <c r="AO29" i="4"/>
  <c r="AO28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5" i="4"/>
  <c r="B112" i="4"/>
  <c r="G176" i="4"/>
  <c r="H176" i="4"/>
  <c r="D153" i="4"/>
  <c r="B153" i="4"/>
  <c r="G153" i="4"/>
  <c r="BD38" i="4" a="1"/>
  <c r="BD38" i="4"/>
  <c r="BB38" i="4" a="1"/>
  <c r="BB38" i="4"/>
  <c r="AZ38" i="4" a="1"/>
  <c r="AZ38" i="4"/>
  <c r="AX38" i="4" a="1"/>
  <c r="AX38" i="4"/>
  <c r="AV38" i="4" a="1"/>
  <c r="AV38" i="4"/>
  <c r="AT38" i="4" a="1"/>
  <c r="AT38" i="4"/>
  <c r="AV49" i="4" a="1"/>
  <c r="AV49" i="4"/>
  <c r="AT49" i="4" a="1"/>
  <c r="AT49" i="4"/>
  <c r="AR49" i="4" a="1"/>
  <c r="AR49" i="4"/>
  <c r="AR38" i="4" a="1"/>
  <c r="AR38" i="4"/>
  <c r="AQ49" i="4" a="1"/>
  <c r="AQ49" i="4" s="1"/>
  <c r="AW38" i="4" a="1"/>
  <c r="AW38" i="4" s="1"/>
  <c r="AY38" i="4" a="1"/>
  <c r="AY38" i="4" s="1"/>
  <c r="BA38" i="4" a="1"/>
  <c r="BA38" i="4" s="1"/>
  <c r="BC38" i="4" a="1"/>
  <c r="BC38" i="4" s="1"/>
  <c r="AU49" i="4" a="1"/>
  <c r="AU49" i="4" s="1"/>
  <c r="AS49" i="4" a="1"/>
  <c r="AS49" i="4" s="1"/>
  <c r="AS38" i="4" a="1"/>
  <c r="AS38" i="4" s="1"/>
  <c r="AU38" i="4" a="1"/>
  <c r="AU38" i="4" s="1"/>
  <c r="AQ38" i="4" a="1"/>
  <c r="AQ38" i="4" s="1"/>
  <c r="AT39" i="4" a="1"/>
  <c r="AT39" i="4" s="1"/>
  <c r="AS39" i="4" a="1"/>
  <c r="AS39" i="4" s="1"/>
  <c r="AR39" i="4" a="1"/>
  <c r="AR39" i="4" s="1"/>
  <c r="AQ39" i="4" a="1"/>
  <c r="AQ39" i="4" s="1"/>
  <c r="AQ2" i="4"/>
  <c r="AR5" i="4" l="1" a="1"/>
  <c r="AR5" i="4" s="1"/>
  <c r="AQ5" i="4" a="1"/>
  <c r="AQ5" i="4" s="1"/>
  <c r="F137" i="4"/>
  <c r="F136" i="4"/>
  <c r="F135" i="4"/>
  <c r="F129" i="4"/>
  <c r="F128" i="4"/>
  <c r="F121" i="4"/>
  <c r="F120" i="4"/>
  <c r="F119" i="4"/>
  <c r="F118" i="4"/>
  <c r="F117" i="4"/>
  <c r="F116" i="4"/>
  <c r="F111" i="4"/>
  <c r="F110" i="4"/>
  <c r="F109" i="4"/>
  <c r="F108" i="4"/>
  <c r="F103" i="4"/>
  <c r="F102" i="4"/>
  <c r="F97" i="4"/>
  <c r="F96" i="4"/>
  <c r="F95" i="4"/>
  <c r="F93" i="4"/>
  <c r="F91" i="4"/>
  <c r="F88" i="4"/>
  <c r="F87" i="4"/>
  <c r="F86" i="4"/>
  <c r="F78" i="4"/>
  <c r="F77" i="4"/>
  <c r="F75" i="4"/>
  <c r="F73" i="4"/>
  <c r="F72" i="4"/>
  <c r="F69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20" i="4"/>
  <c r="F21" i="4"/>
  <c r="F22" i="4"/>
  <c r="F23" i="4"/>
  <c r="F24" i="4"/>
  <c r="F25" i="4"/>
  <c r="F162" i="4"/>
  <c r="F164" i="4"/>
  <c r="F165" i="4"/>
  <c r="F166" i="4"/>
  <c r="F167" i="4"/>
  <c r="F168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" i="4" l="1"/>
  <c r="B2" i="9"/>
  <c r="A2" i="9"/>
  <c r="G167" i="9"/>
  <c r="D167" i="9"/>
  <c r="C167" i="9"/>
  <c r="B167" i="9"/>
  <c r="G166" i="9"/>
  <c r="D166" i="9"/>
  <c r="C166" i="9"/>
  <c r="B166" i="9"/>
  <c r="G165" i="9"/>
  <c r="D165" i="9"/>
  <c r="C165" i="9"/>
  <c r="B165" i="9"/>
  <c r="G164" i="9"/>
  <c r="D164" i="9"/>
  <c r="C164" i="9"/>
  <c r="B164" i="9"/>
  <c r="G163" i="9"/>
  <c r="C163" i="9"/>
  <c r="B163" i="9"/>
  <c r="G162" i="9"/>
  <c r="C162" i="9"/>
  <c r="B162" i="9"/>
  <c r="G161" i="9"/>
  <c r="D161" i="9"/>
  <c r="C161" i="9"/>
  <c r="B161" i="9"/>
  <c r="G160" i="9"/>
  <c r="C160" i="9"/>
  <c r="B160" i="9"/>
  <c r="G159" i="9"/>
  <c r="C159" i="9"/>
  <c r="B159" i="9"/>
  <c r="G158" i="9"/>
  <c r="C158" i="9"/>
  <c r="G153" i="9"/>
  <c r="C153" i="9"/>
  <c r="B153" i="9"/>
  <c r="G152" i="9"/>
  <c r="C152" i="9"/>
  <c r="B152" i="9"/>
  <c r="G151" i="9"/>
  <c r="C151" i="9"/>
  <c r="B151" i="9"/>
  <c r="G150" i="9"/>
  <c r="C150" i="9"/>
  <c r="B150" i="9"/>
  <c r="G149" i="9"/>
  <c r="C149" i="9"/>
  <c r="B149" i="9"/>
  <c r="G148" i="9"/>
  <c r="C148" i="9"/>
  <c r="B148" i="9"/>
  <c r="G147" i="9"/>
  <c r="C147" i="9"/>
  <c r="B147" i="9"/>
  <c r="G146" i="9"/>
  <c r="C146" i="9"/>
  <c r="B146" i="9"/>
  <c r="G145" i="9"/>
  <c r="C145" i="9"/>
  <c r="B145" i="9"/>
  <c r="G144" i="9"/>
  <c r="C144" i="9"/>
  <c r="B144" i="9"/>
  <c r="G143" i="9"/>
  <c r="C143" i="9"/>
  <c r="B143" i="9"/>
  <c r="G142" i="9"/>
  <c r="C142" i="9"/>
  <c r="B142" i="9"/>
  <c r="G141" i="9"/>
  <c r="C141" i="9"/>
  <c r="B141" i="9"/>
  <c r="G138" i="9"/>
  <c r="C138" i="9"/>
  <c r="B138" i="9"/>
  <c r="G137" i="9"/>
  <c r="C137" i="9"/>
  <c r="B137" i="9"/>
  <c r="G136" i="9"/>
  <c r="C136" i="9"/>
  <c r="B136" i="9"/>
  <c r="G135" i="9"/>
  <c r="C135" i="9"/>
  <c r="B135" i="9"/>
  <c r="G134" i="9"/>
  <c r="C134" i="9"/>
  <c r="B134" i="9"/>
  <c r="G131" i="9"/>
  <c r="C131" i="9"/>
  <c r="B131" i="9"/>
  <c r="G130" i="9"/>
  <c r="C130" i="9"/>
  <c r="B130" i="9"/>
  <c r="G129" i="9"/>
  <c r="C129" i="9"/>
  <c r="B129" i="9"/>
  <c r="G128" i="9"/>
  <c r="C128" i="9"/>
  <c r="B128" i="9"/>
  <c r="G127" i="9"/>
  <c r="C127" i="9"/>
  <c r="B127" i="9"/>
  <c r="G126" i="9"/>
  <c r="C126" i="9"/>
  <c r="B126" i="9"/>
  <c r="G125" i="9"/>
  <c r="C125" i="9"/>
  <c r="B125" i="9"/>
  <c r="G122" i="9"/>
  <c r="C122" i="9"/>
  <c r="B122" i="9"/>
  <c r="G121" i="9"/>
  <c r="C121" i="9"/>
  <c r="B121" i="9"/>
  <c r="G120" i="9"/>
  <c r="C120" i="9"/>
  <c r="B120" i="9"/>
  <c r="G119" i="9"/>
  <c r="C119" i="9"/>
  <c r="B119" i="9"/>
  <c r="G118" i="9"/>
  <c r="C118" i="9"/>
  <c r="B118" i="9"/>
  <c r="G117" i="9"/>
  <c r="C117" i="9"/>
  <c r="B117" i="9"/>
  <c r="G116" i="9"/>
  <c r="C116" i="9"/>
  <c r="B116" i="9"/>
  <c r="G115" i="9"/>
  <c r="C115" i="9"/>
  <c r="B115" i="9"/>
  <c r="G112" i="9"/>
  <c r="C112" i="9"/>
  <c r="B112" i="9"/>
  <c r="G111" i="9"/>
  <c r="C111" i="9"/>
  <c r="B111" i="9"/>
  <c r="G110" i="9"/>
  <c r="C110" i="9"/>
  <c r="B110" i="9"/>
  <c r="G109" i="9"/>
  <c r="C109" i="9"/>
  <c r="B109" i="9"/>
  <c r="G108" i="9"/>
  <c r="C108" i="9"/>
  <c r="B108" i="9"/>
  <c r="G107" i="9"/>
  <c r="C107" i="9"/>
  <c r="B107" i="9"/>
  <c r="B113" i="9" s="1"/>
  <c r="G104" i="9"/>
  <c r="C104" i="9"/>
  <c r="B104" i="9"/>
  <c r="G103" i="9"/>
  <c r="C103" i="9"/>
  <c r="B103" i="9"/>
  <c r="G102" i="9"/>
  <c r="C102" i="9"/>
  <c r="B102" i="9"/>
  <c r="G101" i="9"/>
  <c r="C101" i="9"/>
  <c r="B101" i="9"/>
  <c r="G98" i="9"/>
  <c r="C98" i="9"/>
  <c r="B98" i="9"/>
  <c r="G97" i="9"/>
  <c r="C97" i="9"/>
  <c r="B97" i="9"/>
  <c r="G96" i="9"/>
  <c r="C96" i="9"/>
  <c r="B96" i="9"/>
  <c r="G95" i="9"/>
  <c r="C95" i="9"/>
  <c r="B95" i="9"/>
  <c r="G94" i="9"/>
  <c r="C94" i="9"/>
  <c r="B94" i="9"/>
  <c r="G93" i="9"/>
  <c r="C93" i="9"/>
  <c r="B93" i="9"/>
  <c r="G92" i="9"/>
  <c r="C92" i="9"/>
  <c r="B92" i="9"/>
  <c r="B84" i="9"/>
  <c r="C84" i="9"/>
  <c r="B85" i="9"/>
  <c r="C85" i="9"/>
  <c r="B86" i="9"/>
  <c r="C86" i="9"/>
  <c r="B87" i="9"/>
  <c r="C87" i="9"/>
  <c r="B88" i="9"/>
  <c r="C88" i="9"/>
  <c r="B89" i="9"/>
  <c r="I3" i="9"/>
  <c r="F1" i="9"/>
  <c r="I172" i="9" s="1"/>
  <c r="F167" i="9"/>
  <c r="F166" i="9"/>
  <c r="F165" i="9"/>
  <c r="F164" i="9"/>
  <c r="F163" i="9"/>
  <c r="F162" i="9"/>
  <c r="F161" i="9"/>
  <c r="F160" i="9"/>
  <c r="G152" i="4"/>
  <c r="G151" i="4"/>
  <c r="G150" i="4"/>
  <c r="G149" i="4"/>
  <c r="B138" i="4"/>
  <c r="G137" i="4"/>
  <c r="G136" i="4"/>
  <c r="G135" i="4"/>
  <c r="G134" i="4"/>
  <c r="G133" i="4"/>
  <c r="B131" i="4"/>
  <c r="G130" i="4"/>
  <c r="G129" i="4"/>
  <c r="G124" i="4"/>
  <c r="B122" i="4"/>
  <c r="G121" i="4"/>
  <c r="G120" i="4"/>
  <c r="G119" i="4"/>
  <c r="G118" i="4"/>
  <c r="G117" i="4"/>
  <c r="G111" i="4"/>
  <c r="G110" i="4"/>
  <c r="G109" i="4"/>
  <c r="G108" i="4"/>
  <c r="G107" i="4"/>
  <c r="G106" i="4"/>
  <c r="B104" i="4"/>
  <c r="G103" i="4"/>
  <c r="G102" i="4"/>
  <c r="G101" i="4"/>
  <c r="G100" i="4"/>
  <c r="G97" i="4"/>
  <c r="G96" i="4"/>
  <c r="G95" i="4"/>
  <c r="G93" i="4"/>
  <c r="G92" i="4"/>
  <c r="G91" i="4"/>
  <c r="B89" i="4"/>
  <c r="G88" i="4"/>
  <c r="G87" i="4"/>
  <c r="G80" i="4"/>
  <c r="G73" i="4"/>
  <c r="B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2" i="4"/>
  <c r="G51" i="4"/>
  <c r="G50" i="4"/>
  <c r="G49" i="4"/>
  <c r="G48" i="4"/>
  <c r="G47" i="4"/>
  <c r="B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B26" i="4"/>
  <c r="B155" i="4" s="1"/>
  <c r="J2" i="4"/>
  <c r="AS2" i="4" s="1"/>
  <c r="A254" i="4"/>
  <c r="C89" i="9"/>
  <c r="C83" i="9"/>
  <c r="B83" i="9"/>
  <c r="C82" i="9"/>
  <c r="B82" i="9"/>
  <c r="C81" i="9"/>
  <c r="B81" i="9"/>
  <c r="C80" i="9"/>
  <c r="B80" i="9"/>
  <c r="C79" i="9"/>
  <c r="B79" i="9"/>
  <c r="C78" i="9"/>
  <c r="B78" i="9"/>
  <c r="C77" i="9"/>
  <c r="B77" i="9"/>
  <c r="C76" i="9"/>
  <c r="B76" i="9"/>
  <c r="C75" i="9"/>
  <c r="B75" i="9"/>
  <c r="C74" i="9"/>
  <c r="B74" i="9"/>
  <c r="C73" i="9"/>
  <c r="B73" i="9"/>
  <c r="C72" i="9"/>
  <c r="B72" i="9"/>
  <c r="C71" i="9"/>
  <c r="B71" i="9"/>
  <c r="C70" i="9"/>
  <c r="B70" i="9"/>
  <c r="C67" i="9"/>
  <c r="B67" i="9"/>
  <c r="C66" i="9"/>
  <c r="B66" i="9"/>
  <c r="C65" i="9"/>
  <c r="B65" i="9"/>
  <c r="F65" i="9" s="1"/>
  <c r="C64" i="9"/>
  <c r="B64" i="9"/>
  <c r="C63" i="9"/>
  <c r="B63" i="9"/>
  <c r="F63" i="9" s="1"/>
  <c r="C62" i="9"/>
  <c r="B62" i="9"/>
  <c r="C61" i="9"/>
  <c r="B61" i="9"/>
  <c r="F61" i="9" s="1"/>
  <c r="C60" i="9"/>
  <c r="B60" i="9"/>
  <c r="C59" i="9"/>
  <c r="B59" i="9"/>
  <c r="F59" i="9" s="1"/>
  <c r="C58" i="9"/>
  <c r="B58" i="9"/>
  <c r="C57" i="9"/>
  <c r="B57" i="9"/>
  <c r="F57" i="9" s="1"/>
  <c r="C56" i="9"/>
  <c r="B56" i="9"/>
  <c r="C55" i="9"/>
  <c r="B55" i="9"/>
  <c r="F55" i="9" s="1"/>
  <c r="C54" i="9"/>
  <c r="B54" i="9"/>
  <c r="C53" i="9"/>
  <c r="B53" i="9"/>
  <c r="F53" i="9" s="1"/>
  <c r="C52" i="9"/>
  <c r="B52" i="9"/>
  <c r="C51" i="9"/>
  <c r="B51" i="9"/>
  <c r="F51" i="9" s="1"/>
  <c r="C50" i="9"/>
  <c r="B50" i="9"/>
  <c r="C49" i="9"/>
  <c r="B49" i="9"/>
  <c r="F49" i="9" s="1"/>
  <c r="C48" i="9"/>
  <c r="B48" i="9"/>
  <c r="C47" i="9"/>
  <c r="B47" i="9"/>
  <c r="C44" i="9"/>
  <c r="B44" i="9"/>
  <c r="C43" i="9"/>
  <c r="B43" i="9"/>
  <c r="C42" i="9"/>
  <c r="B42" i="9"/>
  <c r="C41" i="9"/>
  <c r="B41" i="9"/>
  <c r="C40" i="9"/>
  <c r="B40" i="9"/>
  <c r="C39" i="9"/>
  <c r="B39" i="9"/>
  <c r="C38" i="9"/>
  <c r="B38" i="9"/>
  <c r="C37" i="9"/>
  <c r="B37" i="9"/>
  <c r="C36" i="9"/>
  <c r="B36" i="9"/>
  <c r="C35" i="9"/>
  <c r="B35" i="9"/>
  <c r="C34" i="9"/>
  <c r="B34" i="9"/>
  <c r="C33" i="9"/>
  <c r="B33" i="9"/>
  <c r="C32" i="9"/>
  <c r="B32" i="9"/>
  <c r="C31" i="9"/>
  <c r="B31" i="9"/>
  <c r="C30" i="9"/>
  <c r="B30" i="9"/>
  <c r="C29" i="9"/>
  <c r="B29" i="9"/>
  <c r="B45" i="9"/>
  <c r="B7" i="9"/>
  <c r="C7" i="9"/>
  <c r="B8" i="9"/>
  <c r="C8" i="9"/>
  <c r="B9" i="9"/>
  <c r="C9" i="9"/>
  <c r="B10" i="9"/>
  <c r="C10" i="9"/>
  <c r="B11" i="9"/>
  <c r="C11" i="9"/>
  <c r="B12" i="9"/>
  <c r="C12" i="9"/>
  <c r="B13" i="9"/>
  <c r="C13" i="9"/>
  <c r="B14" i="9"/>
  <c r="C14" i="9"/>
  <c r="B15" i="9"/>
  <c r="C15" i="9"/>
  <c r="B16" i="9"/>
  <c r="C16" i="9"/>
  <c r="B17" i="9"/>
  <c r="C17" i="9"/>
  <c r="B18" i="9"/>
  <c r="C18" i="9"/>
  <c r="B19" i="9"/>
  <c r="C19" i="9"/>
  <c r="B20" i="9"/>
  <c r="C20" i="9"/>
  <c r="B21" i="9"/>
  <c r="C21" i="9"/>
  <c r="B22" i="9"/>
  <c r="C22" i="9"/>
  <c r="B23" i="9"/>
  <c r="C23" i="9"/>
  <c r="B24" i="9"/>
  <c r="C24" i="9"/>
  <c r="B25" i="9"/>
  <c r="C25" i="9"/>
  <c r="B26" i="9"/>
  <c r="F26" i="9" s="1"/>
  <c r="C26" i="9"/>
  <c r="C6" i="9"/>
  <c r="B6" i="9"/>
  <c r="F67" i="9"/>
  <c r="F66" i="9"/>
  <c r="F64" i="9"/>
  <c r="F62" i="9"/>
  <c r="F60" i="9"/>
  <c r="F56" i="9"/>
  <c r="F52" i="9"/>
  <c r="F50" i="9"/>
  <c r="F25" i="9"/>
  <c r="F24" i="9"/>
  <c r="F23" i="9"/>
  <c r="F21" i="9"/>
  <c r="AT5" i="4" l="1" a="1"/>
  <c r="AT5" i="4" s="1"/>
  <c r="AS5" i="4" a="1"/>
  <c r="AS5" i="4" s="1"/>
  <c r="AN108" i="4"/>
  <c r="H172" i="9"/>
  <c r="D21" i="9"/>
  <c r="AN20" i="4"/>
  <c r="D23" i="9"/>
  <c r="AN22" i="4"/>
  <c r="D24" i="9"/>
  <c r="AN23" i="4"/>
  <c r="D25" i="9"/>
  <c r="AN24" i="4"/>
  <c r="D26" i="9"/>
  <c r="AN25" i="4"/>
  <c r="D49" i="9"/>
  <c r="AN48" i="4"/>
  <c r="D50" i="9"/>
  <c r="AN49" i="4"/>
  <c r="D51" i="9"/>
  <c r="AN50" i="4"/>
  <c r="D52" i="9"/>
  <c r="AN51" i="4"/>
  <c r="D53" i="9"/>
  <c r="AN52" i="4"/>
  <c r="D55" i="9"/>
  <c r="AN54" i="4"/>
  <c r="D56" i="9"/>
  <c r="AN55" i="4"/>
  <c r="D57" i="9"/>
  <c r="AN56" i="4"/>
  <c r="D59" i="9"/>
  <c r="AN58" i="4"/>
  <c r="D60" i="9"/>
  <c r="AN59" i="4"/>
  <c r="D61" i="9"/>
  <c r="AN60" i="4"/>
  <c r="D62" i="9"/>
  <c r="AN61" i="4"/>
  <c r="D64" i="9"/>
  <c r="AN63" i="4"/>
  <c r="D65" i="9"/>
  <c r="AN64" i="4"/>
  <c r="D66" i="9"/>
  <c r="AN65" i="4"/>
  <c r="D67" i="9"/>
  <c r="AN66" i="4"/>
  <c r="D88" i="9"/>
  <c r="AN87" i="4"/>
  <c r="D89" i="9"/>
  <c r="AN88" i="4"/>
  <c r="D92" i="9"/>
  <c r="AN91" i="4"/>
  <c r="D94" i="9"/>
  <c r="AN93" i="4"/>
  <c r="D96" i="9"/>
  <c r="AN95" i="4"/>
  <c r="D97" i="9"/>
  <c r="AN96" i="4"/>
  <c r="D98" i="9"/>
  <c r="AN97" i="4"/>
  <c r="D103" i="9"/>
  <c r="AN102" i="4"/>
  <c r="D104" i="9"/>
  <c r="AN103" i="4"/>
  <c r="D110" i="9"/>
  <c r="AN109" i="4"/>
  <c r="D111" i="9"/>
  <c r="AN110" i="4"/>
  <c r="D112" i="9"/>
  <c r="AN111" i="4"/>
  <c r="D118" i="9"/>
  <c r="AN117" i="4"/>
  <c r="D119" i="9"/>
  <c r="AN118" i="4"/>
  <c r="D120" i="9"/>
  <c r="AN119" i="4"/>
  <c r="D122" i="9"/>
  <c r="AN121" i="4"/>
  <c r="D130" i="9"/>
  <c r="AN129" i="4"/>
  <c r="D136" i="9"/>
  <c r="AN135" i="4"/>
  <c r="D137" i="9"/>
  <c r="AN136" i="4"/>
  <c r="D138" i="9"/>
  <c r="AN137" i="4"/>
  <c r="F92" i="9"/>
  <c r="F93" i="9"/>
  <c r="F94" i="9"/>
  <c r="F96" i="9"/>
  <c r="F97" i="9"/>
  <c r="F98" i="9"/>
  <c r="F101" i="9"/>
  <c r="F102" i="9"/>
  <c r="F103" i="9"/>
  <c r="F104" i="9"/>
  <c r="F107" i="9"/>
  <c r="F108" i="9"/>
  <c r="F109" i="9"/>
  <c r="F110" i="9"/>
  <c r="F111" i="9"/>
  <c r="F112" i="9"/>
  <c r="F118" i="9"/>
  <c r="F119" i="9"/>
  <c r="F120" i="9"/>
  <c r="F121" i="9"/>
  <c r="F122" i="9"/>
  <c r="F125" i="9"/>
  <c r="F130" i="9"/>
  <c r="F131" i="9"/>
  <c r="F134" i="9"/>
  <c r="F135" i="9"/>
  <c r="F136" i="9"/>
  <c r="F137" i="9"/>
  <c r="F138" i="9"/>
  <c r="F150" i="9"/>
  <c r="F151" i="9"/>
  <c r="F152" i="9"/>
  <c r="F153" i="9"/>
  <c r="K2" i="4"/>
  <c r="J256" i="4"/>
  <c r="I256" i="4"/>
  <c r="D109" i="9"/>
  <c r="J3" i="9"/>
  <c r="J255" i="4"/>
  <c r="I255" i="4"/>
  <c r="A255" i="4"/>
  <c r="A256" i="4" s="1"/>
  <c r="G1" i="4" s="1"/>
  <c r="B27" i="9"/>
  <c r="B68" i="9"/>
  <c r="B90" i="9"/>
  <c r="B99" i="9"/>
  <c r="B105" i="9"/>
  <c r="B123" i="9"/>
  <c r="B132" i="9"/>
  <c r="B139" i="9"/>
  <c r="B154" i="9"/>
  <c r="B155" i="9" l="1"/>
  <c r="K256" i="4"/>
  <c r="J1" i="9" s="1"/>
  <c r="AU2" i="4"/>
  <c r="K255" i="4"/>
  <c r="I1" i="9"/>
  <c r="H1" i="9"/>
  <c r="J257" i="4"/>
  <c r="K257" i="4"/>
  <c r="K168" i="4" s="1"/>
  <c r="L257" i="4"/>
  <c r="M257" i="4"/>
  <c r="N257" i="4"/>
  <c r="O257" i="4"/>
  <c r="P257" i="4"/>
  <c r="Q257" i="4"/>
  <c r="R257" i="4"/>
  <c r="S257" i="4"/>
  <c r="T257" i="4"/>
  <c r="U257" i="4"/>
  <c r="V257" i="4"/>
  <c r="W257" i="4"/>
  <c r="X257" i="4"/>
  <c r="Y257" i="4"/>
  <c r="Z257" i="4"/>
  <c r="AA257" i="4"/>
  <c r="AB257" i="4"/>
  <c r="AC257" i="4"/>
  <c r="AD257" i="4"/>
  <c r="AE257" i="4"/>
  <c r="AF257" i="4"/>
  <c r="AG257" i="4"/>
  <c r="AH257" i="4"/>
  <c r="AI257" i="4"/>
  <c r="AJ257" i="4"/>
  <c r="AK257" i="4"/>
  <c r="AL257" i="4"/>
  <c r="AM257" i="4"/>
  <c r="I257" i="4"/>
  <c r="I160" i="4" s="1"/>
  <c r="L2" i="4"/>
  <c r="AW2" i="4" s="1"/>
  <c r="D2" i="9"/>
  <c r="K254" i="4"/>
  <c r="J254" i="4"/>
  <c r="I254" i="4"/>
  <c r="K3" i="9"/>
  <c r="J172" i="9"/>
  <c r="I258" i="4"/>
  <c r="L159" i="9" l="1"/>
  <c r="H159" i="9"/>
  <c r="AX5" i="4" a="1"/>
  <c r="AX5" i="4" s="1"/>
  <c r="AW5" i="4" a="1"/>
  <c r="AW5" i="4" s="1"/>
  <c r="AV5" i="4" a="1"/>
  <c r="AV5" i="4" s="1"/>
  <c r="AU5" i="4" a="1"/>
  <c r="AU5" i="4" s="1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38" i="9"/>
  <c r="H137" i="9"/>
  <c r="H136" i="9"/>
  <c r="H135" i="9"/>
  <c r="H134" i="9"/>
  <c r="H131" i="9"/>
  <c r="H130" i="9"/>
  <c r="H129" i="9"/>
  <c r="H128" i="9"/>
  <c r="H127" i="9"/>
  <c r="H126" i="9"/>
  <c r="H125" i="9"/>
  <c r="H122" i="9"/>
  <c r="H121" i="9"/>
  <c r="H120" i="9"/>
  <c r="H119" i="9"/>
  <c r="H118" i="9"/>
  <c r="H117" i="9"/>
  <c r="H116" i="9"/>
  <c r="H115" i="9"/>
  <c r="H112" i="9"/>
  <c r="H111" i="9"/>
  <c r="H110" i="9"/>
  <c r="H109" i="9"/>
  <c r="H108" i="9"/>
  <c r="H107" i="9"/>
  <c r="H104" i="9"/>
  <c r="H103" i="9"/>
  <c r="H102" i="9"/>
  <c r="H101" i="9"/>
  <c r="H98" i="9"/>
  <c r="H97" i="9"/>
  <c r="H96" i="9"/>
  <c r="H95" i="9"/>
  <c r="H94" i="9"/>
  <c r="H93" i="9"/>
  <c r="H92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7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6" i="9"/>
  <c r="H10" i="9"/>
  <c r="H9" i="9"/>
  <c r="H8" i="9"/>
  <c r="I161" i="4"/>
  <c r="I162" i="4"/>
  <c r="I163" i="4"/>
  <c r="I164" i="4"/>
  <c r="I165" i="4"/>
  <c r="I166" i="4"/>
  <c r="I167" i="4"/>
  <c r="I168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7" i="4"/>
  <c r="I136" i="4"/>
  <c r="I135" i="4"/>
  <c r="I134" i="4"/>
  <c r="I133" i="4"/>
  <c r="I130" i="4"/>
  <c r="I129" i="4"/>
  <c r="I128" i="4"/>
  <c r="I127" i="4"/>
  <c r="I126" i="4"/>
  <c r="I125" i="4"/>
  <c r="I124" i="4"/>
  <c r="I121" i="4"/>
  <c r="I120" i="4"/>
  <c r="I119" i="4"/>
  <c r="I118" i="4"/>
  <c r="I117" i="4"/>
  <c r="I116" i="4"/>
  <c r="I115" i="4"/>
  <c r="I114" i="4"/>
  <c r="I111" i="4"/>
  <c r="I110" i="4"/>
  <c r="I109" i="4"/>
  <c r="I108" i="4"/>
  <c r="I107" i="4"/>
  <c r="I106" i="4"/>
  <c r="I103" i="4"/>
  <c r="I102" i="4"/>
  <c r="I101" i="4"/>
  <c r="I100" i="4"/>
  <c r="I97" i="4"/>
  <c r="I96" i="4"/>
  <c r="I95" i="4"/>
  <c r="I94" i="4"/>
  <c r="I93" i="4"/>
  <c r="I92" i="4"/>
  <c r="I91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J5" i="4"/>
  <c r="J160" i="4"/>
  <c r="L168" i="4"/>
  <c r="J163" i="4"/>
  <c r="J168" i="4"/>
  <c r="J161" i="4"/>
  <c r="K6" i="4"/>
  <c r="D1" i="9"/>
  <c r="H2" i="9" s="1"/>
  <c r="J258" i="4"/>
  <c r="K258" i="4" s="1"/>
  <c r="L258" i="4" s="1"/>
  <c r="M258" i="4" s="1"/>
  <c r="N258" i="4" s="1"/>
  <c r="O258" i="4" s="1"/>
  <c r="P258" i="4" s="1"/>
  <c r="Q258" i="4" s="1"/>
  <c r="R258" i="4" s="1"/>
  <c r="S258" i="4" s="1"/>
  <c r="T258" i="4" s="1"/>
  <c r="U258" i="4" s="1"/>
  <c r="V258" i="4" s="1"/>
  <c r="W258" i="4" s="1"/>
  <c r="X258" i="4" s="1"/>
  <c r="Y258" i="4" s="1"/>
  <c r="Z258" i="4" s="1"/>
  <c r="AA258" i="4" s="1"/>
  <c r="AB258" i="4" s="1"/>
  <c r="AC258" i="4" s="1"/>
  <c r="AD258" i="4" s="1"/>
  <c r="AE258" i="4" s="1"/>
  <c r="AF258" i="4" s="1"/>
  <c r="AG258" i="4" s="1"/>
  <c r="AH258" i="4" s="1"/>
  <c r="AI258" i="4" s="1"/>
  <c r="AJ258" i="4" s="1"/>
  <c r="AK258" i="4" s="1"/>
  <c r="AL258" i="4" s="1"/>
  <c r="AM258" i="4" s="1"/>
  <c r="L160" i="4"/>
  <c r="L161" i="4"/>
  <c r="L162" i="4"/>
  <c r="L163" i="4"/>
  <c r="L164" i="4"/>
  <c r="L165" i="4"/>
  <c r="L166" i="4"/>
  <c r="L167" i="4"/>
  <c r="L5" i="4"/>
  <c r="I173" i="4"/>
  <c r="K160" i="4"/>
  <c r="K161" i="4"/>
  <c r="K162" i="4"/>
  <c r="K163" i="4"/>
  <c r="K164" i="4"/>
  <c r="K165" i="4"/>
  <c r="K166" i="4"/>
  <c r="K167" i="4"/>
  <c r="J162" i="4"/>
  <c r="J164" i="4"/>
  <c r="J165" i="4"/>
  <c r="J166" i="4"/>
  <c r="J167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7" i="4"/>
  <c r="L136" i="4"/>
  <c r="L135" i="4"/>
  <c r="L134" i="4"/>
  <c r="L133" i="4"/>
  <c r="L130" i="4"/>
  <c r="L129" i="4"/>
  <c r="L128" i="4"/>
  <c r="L127" i="4"/>
  <c r="L126" i="4"/>
  <c r="L125" i="4"/>
  <c r="L124" i="4"/>
  <c r="L121" i="4"/>
  <c r="L120" i="4"/>
  <c r="L119" i="4"/>
  <c r="L118" i="4"/>
  <c r="L117" i="4"/>
  <c r="L116" i="4"/>
  <c r="L115" i="4"/>
  <c r="L114" i="4"/>
  <c r="L111" i="4"/>
  <c r="L110" i="4"/>
  <c r="L109" i="4"/>
  <c r="L108" i="4"/>
  <c r="L107" i="4"/>
  <c r="L106" i="4"/>
  <c r="L103" i="4"/>
  <c r="L102" i="4"/>
  <c r="L101" i="4"/>
  <c r="L100" i="4"/>
  <c r="L97" i="4"/>
  <c r="L96" i="4"/>
  <c r="L95" i="4"/>
  <c r="L94" i="4"/>
  <c r="L93" i="4"/>
  <c r="L92" i="4"/>
  <c r="L91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7" i="4"/>
  <c r="K136" i="4"/>
  <c r="K135" i="4"/>
  <c r="K134" i="4"/>
  <c r="K133" i="4"/>
  <c r="K130" i="4"/>
  <c r="K129" i="4"/>
  <c r="K128" i="4"/>
  <c r="K127" i="4"/>
  <c r="K126" i="4"/>
  <c r="K125" i="4"/>
  <c r="K124" i="4"/>
  <c r="K121" i="4"/>
  <c r="K120" i="4"/>
  <c r="K119" i="4"/>
  <c r="K118" i="4"/>
  <c r="K117" i="4"/>
  <c r="K116" i="4"/>
  <c r="K115" i="4"/>
  <c r="K114" i="4"/>
  <c r="K111" i="4"/>
  <c r="K110" i="4"/>
  <c r="K109" i="4"/>
  <c r="K108" i="4"/>
  <c r="K107" i="4"/>
  <c r="K106" i="4"/>
  <c r="K103" i="4"/>
  <c r="K102" i="4"/>
  <c r="K101" i="4"/>
  <c r="K100" i="4"/>
  <c r="K97" i="4"/>
  <c r="K96" i="4"/>
  <c r="K95" i="4"/>
  <c r="K94" i="4"/>
  <c r="K93" i="4"/>
  <c r="K92" i="4"/>
  <c r="K91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5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5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7" i="4"/>
  <c r="J136" i="4"/>
  <c r="J135" i="4"/>
  <c r="J134" i="4"/>
  <c r="J133" i="4"/>
  <c r="J130" i="4"/>
  <c r="J129" i="4"/>
  <c r="J128" i="4"/>
  <c r="J127" i="4"/>
  <c r="J126" i="4"/>
  <c r="J125" i="4"/>
  <c r="J124" i="4"/>
  <c r="J121" i="4"/>
  <c r="J120" i="4"/>
  <c r="J119" i="4"/>
  <c r="J118" i="4"/>
  <c r="J117" i="4"/>
  <c r="J116" i="4"/>
  <c r="J115" i="4"/>
  <c r="J114" i="4"/>
  <c r="J111" i="4"/>
  <c r="J110" i="4"/>
  <c r="J109" i="4"/>
  <c r="J108" i="4"/>
  <c r="J107" i="4"/>
  <c r="J106" i="4"/>
  <c r="J103" i="4"/>
  <c r="J102" i="4"/>
  <c r="J101" i="4"/>
  <c r="J100" i="4"/>
  <c r="J97" i="4"/>
  <c r="J96" i="4"/>
  <c r="J95" i="4"/>
  <c r="J94" i="4"/>
  <c r="J93" i="4"/>
  <c r="J92" i="4"/>
  <c r="J91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H171" i="9"/>
  <c r="I171" i="9"/>
  <c r="J171" i="9"/>
  <c r="M2" i="4"/>
  <c r="L256" i="4"/>
  <c r="L1" i="4" s="1"/>
  <c r="AW3" i="4" s="1"/>
  <c r="L255" i="4"/>
  <c r="K167" i="9"/>
  <c r="J167" i="9"/>
  <c r="I167" i="9"/>
  <c r="H167" i="9"/>
  <c r="K166" i="9"/>
  <c r="J166" i="9"/>
  <c r="I166" i="9"/>
  <c r="H166" i="9"/>
  <c r="K165" i="9"/>
  <c r="J165" i="9"/>
  <c r="I165" i="9"/>
  <c r="H165" i="9"/>
  <c r="K164" i="9"/>
  <c r="J164" i="9"/>
  <c r="I164" i="9"/>
  <c r="H164" i="9"/>
  <c r="K163" i="9"/>
  <c r="J163" i="9"/>
  <c r="I163" i="9"/>
  <c r="H163" i="9"/>
  <c r="K162" i="9"/>
  <c r="J162" i="9"/>
  <c r="I162" i="9"/>
  <c r="H162" i="9"/>
  <c r="K161" i="9"/>
  <c r="J161" i="9"/>
  <c r="I161" i="9"/>
  <c r="H161" i="9"/>
  <c r="K160" i="9"/>
  <c r="J160" i="9"/>
  <c r="I160" i="9"/>
  <c r="H160" i="9"/>
  <c r="K159" i="9"/>
  <c r="J159" i="9"/>
  <c r="I159" i="9"/>
  <c r="K153" i="9"/>
  <c r="J153" i="9"/>
  <c r="I153" i="9"/>
  <c r="K152" i="9"/>
  <c r="J152" i="9"/>
  <c r="I152" i="9"/>
  <c r="K151" i="9"/>
  <c r="J151" i="9"/>
  <c r="I151" i="9"/>
  <c r="K150" i="9"/>
  <c r="J150" i="9"/>
  <c r="I150" i="9"/>
  <c r="K149" i="9"/>
  <c r="J149" i="9"/>
  <c r="I149" i="9"/>
  <c r="K148" i="9"/>
  <c r="J148" i="9"/>
  <c r="I148" i="9"/>
  <c r="K147" i="9"/>
  <c r="J147" i="9"/>
  <c r="I147" i="9"/>
  <c r="K145" i="9"/>
  <c r="J145" i="9"/>
  <c r="I145" i="9"/>
  <c r="K144" i="9"/>
  <c r="J144" i="9"/>
  <c r="I144" i="9"/>
  <c r="K143" i="9"/>
  <c r="J143" i="9"/>
  <c r="I143" i="9"/>
  <c r="K142" i="9"/>
  <c r="J142" i="9"/>
  <c r="I142" i="9"/>
  <c r="K141" i="9"/>
  <c r="J141" i="9"/>
  <c r="I141" i="9"/>
  <c r="K138" i="9"/>
  <c r="J138" i="9"/>
  <c r="I138" i="9"/>
  <c r="K137" i="9"/>
  <c r="J137" i="9"/>
  <c r="I137" i="9"/>
  <c r="K136" i="9"/>
  <c r="J136" i="9"/>
  <c r="I136" i="9"/>
  <c r="K135" i="9"/>
  <c r="J135" i="9"/>
  <c r="I135" i="9"/>
  <c r="K134" i="9"/>
  <c r="J134" i="9"/>
  <c r="I134" i="9"/>
  <c r="K131" i="9"/>
  <c r="J131" i="9"/>
  <c r="I131" i="9"/>
  <c r="K130" i="9"/>
  <c r="J130" i="9"/>
  <c r="I130" i="9"/>
  <c r="K129" i="9"/>
  <c r="J129" i="9"/>
  <c r="I129" i="9"/>
  <c r="K128" i="9"/>
  <c r="J128" i="9"/>
  <c r="I128" i="9"/>
  <c r="K127" i="9"/>
  <c r="J127" i="9"/>
  <c r="I127" i="9"/>
  <c r="K125" i="9"/>
  <c r="J125" i="9"/>
  <c r="I125" i="9"/>
  <c r="K122" i="9"/>
  <c r="J122" i="9"/>
  <c r="I122" i="9"/>
  <c r="K121" i="9"/>
  <c r="J121" i="9"/>
  <c r="I121" i="9"/>
  <c r="K120" i="9"/>
  <c r="J120" i="9"/>
  <c r="I120" i="9"/>
  <c r="K119" i="9"/>
  <c r="J119" i="9"/>
  <c r="I119" i="9"/>
  <c r="K118" i="9"/>
  <c r="J118" i="9"/>
  <c r="I118" i="9"/>
  <c r="K117" i="9"/>
  <c r="J117" i="9"/>
  <c r="I117" i="9"/>
  <c r="K116" i="9"/>
  <c r="J116" i="9"/>
  <c r="I116" i="9"/>
  <c r="K115" i="9"/>
  <c r="J115" i="9"/>
  <c r="I115" i="9"/>
  <c r="K112" i="9"/>
  <c r="J112" i="9"/>
  <c r="I112" i="9"/>
  <c r="K111" i="9"/>
  <c r="J111" i="9"/>
  <c r="I111" i="9"/>
  <c r="K110" i="9"/>
  <c r="J110" i="9"/>
  <c r="I110" i="9"/>
  <c r="K109" i="9"/>
  <c r="J109" i="9"/>
  <c r="I109" i="9"/>
  <c r="K108" i="9"/>
  <c r="J108" i="9"/>
  <c r="I108" i="9"/>
  <c r="K107" i="9"/>
  <c r="J107" i="9"/>
  <c r="I107" i="9"/>
  <c r="K104" i="9"/>
  <c r="J104" i="9"/>
  <c r="I104" i="9"/>
  <c r="K103" i="9"/>
  <c r="J103" i="9"/>
  <c r="I103" i="9"/>
  <c r="K102" i="9"/>
  <c r="J102" i="9"/>
  <c r="I102" i="9"/>
  <c r="K101" i="9"/>
  <c r="J101" i="9"/>
  <c r="I101" i="9"/>
  <c r="K98" i="9"/>
  <c r="J98" i="9"/>
  <c r="I98" i="9"/>
  <c r="K97" i="9"/>
  <c r="J97" i="9"/>
  <c r="I97" i="9"/>
  <c r="K96" i="9"/>
  <c r="J96" i="9"/>
  <c r="I96" i="9"/>
  <c r="K95" i="9"/>
  <c r="J95" i="9"/>
  <c r="I95" i="9"/>
  <c r="K94" i="9"/>
  <c r="J94" i="9"/>
  <c r="I94" i="9"/>
  <c r="K93" i="9"/>
  <c r="J93" i="9"/>
  <c r="I93" i="9"/>
  <c r="K92" i="9"/>
  <c r="J92" i="9"/>
  <c r="I92" i="9"/>
  <c r="K89" i="9"/>
  <c r="J89" i="9"/>
  <c r="I89" i="9"/>
  <c r="K88" i="9"/>
  <c r="J88" i="9"/>
  <c r="I88" i="9"/>
  <c r="K87" i="9"/>
  <c r="J87" i="9"/>
  <c r="I87" i="9"/>
  <c r="K86" i="9"/>
  <c r="J86" i="9"/>
  <c r="I86" i="9"/>
  <c r="K85" i="9"/>
  <c r="J85" i="9"/>
  <c r="I85" i="9"/>
  <c r="K84" i="9"/>
  <c r="J84" i="9"/>
  <c r="I84" i="9"/>
  <c r="K83" i="9"/>
  <c r="J83" i="9"/>
  <c r="I83" i="9"/>
  <c r="K82" i="9"/>
  <c r="J82" i="9"/>
  <c r="I82" i="9"/>
  <c r="K81" i="9"/>
  <c r="J81" i="9"/>
  <c r="I81" i="9"/>
  <c r="K80" i="9"/>
  <c r="J80" i="9"/>
  <c r="I80" i="9"/>
  <c r="K79" i="9"/>
  <c r="J79" i="9"/>
  <c r="I79" i="9"/>
  <c r="K78" i="9"/>
  <c r="J78" i="9"/>
  <c r="I78" i="9"/>
  <c r="K77" i="9"/>
  <c r="J77" i="9"/>
  <c r="I77" i="9"/>
  <c r="K76" i="9"/>
  <c r="J76" i="9"/>
  <c r="I76" i="9"/>
  <c r="K75" i="9"/>
  <c r="J75" i="9"/>
  <c r="I75" i="9"/>
  <c r="K74" i="9"/>
  <c r="J74" i="9"/>
  <c r="I74" i="9"/>
  <c r="K73" i="9"/>
  <c r="J73" i="9"/>
  <c r="I73" i="9"/>
  <c r="K72" i="9"/>
  <c r="J72" i="9"/>
  <c r="I72" i="9"/>
  <c r="K71" i="9"/>
  <c r="J71" i="9"/>
  <c r="I71" i="9"/>
  <c r="K70" i="9"/>
  <c r="J70" i="9"/>
  <c r="I70" i="9"/>
  <c r="K67" i="9"/>
  <c r="J67" i="9"/>
  <c r="I67" i="9"/>
  <c r="K66" i="9"/>
  <c r="J66" i="9"/>
  <c r="I66" i="9"/>
  <c r="K65" i="9"/>
  <c r="J65" i="9"/>
  <c r="I65" i="9"/>
  <c r="K64" i="9"/>
  <c r="J64" i="9"/>
  <c r="I64" i="9"/>
  <c r="K63" i="9"/>
  <c r="J63" i="9"/>
  <c r="I63" i="9"/>
  <c r="K62" i="9"/>
  <c r="J62" i="9"/>
  <c r="I62" i="9"/>
  <c r="K61" i="9"/>
  <c r="J61" i="9"/>
  <c r="I61" i="9"/>
  <c r="K60" i="9"/>
  <c r="J60" i="9"/>
  <c r="I60" i="9"/>
  <c r="K59" i="9"/>
  <c r="J59" i="9"/>
  <c r="I59" i="9"/>
  <c r="K58" i="9"/>
  <c r="J58" i="9"/>
  <c r="I58" i="9"/>
  <c r="K57" i="9"/>
  <c r="J57" i="9"/>
  <c r="I57" i="9"/>
  <c r="K56" i="9"/>
  <c r="J56" i="9"/>
  <c r="I56" i="9"/>
  <c r="K55" i="9"/>
  <c r="J55" i="9"/>
  <c r="I55" i="9"/>
  <c r="K54" i="9"/>
  <c r="J54" i="9"/>
  <c r="I54" i="9"/>
  <c r="K53" i="9"/>
  <c r="J53" i="9"/>
  <c r="I53" i="9"/>
  <c r="K52" i="9"/>
  <c r="J52" i="9"/>
  <c r="I52" i="9"/>
  <c r="K51" i="9"/>
  <c r="J51" i="9"/>
  <c r="I51" i="9"/>
  <c r="K50" i="9"/>
  <c r="J50" i="9"/>
  <c r="I50" i="9"/>
  <c r="K49" i="9"/>
  <c r="J49" i="9"/>
  <c r="I49" i="9"/>
  <c r="K48" i="9"/>
  <c r="J48" i="9"/>
  <c r="I48" i="9"/>
  <c r="K47" i="9"/>
  <c r="J47" i="9"/>
  <c r="I47" i="9"/>
  <c r="K44" i="9"/>
  <c r="J44" i="9"/>
  <c r="I44" i="9"/>
  <c r="K43" i="9"/>
  <c r="J43" i="9"/>
  <c r="I43" i="9"/>
  <c r="K42" i="9"/>
  <c r="J42" i="9"/>
  <c r="I42" i="9"/>
  <c r="K41" i="9"/>
  <c r="J41" i="9"/>
  <c r="I41" i="9"/>
  <c r="K40" i="9"/>
  <c r="J40" i="9"/>
  <c r="I40" i="9"/>
  <c r="K39" i="9"/>
  <c r="J39" i="9"/>
  <c r="I39" i="9"/>
  <c r="K38" i="9"/>
  <c r="J38" i="9"/>
  <c r="I38" i="9"/>
  <c r="K37" i="9"/>
  <c r="J37" i="9"/>
  <c r="I37" i="9"/>
  <c r="K36" i="9"/>
  <c r="J36" i="9"/>
  <c r="I36" i="9"/>
  <c r="K35" i="9"/>
  <c r="J35" i="9"/>
  <c r="I35" i="9"/>
  <c r="K34" i="9"/>
  <c r="J34" i="9"/>
  <c r="I34" i="9"/>
  <c r="K33" i="9"/>
  <c r="J33" i="9"/>
  <c r="I33" i="9"/>
  <c r="K32" i="9"/>
  <c r="J32" i="9"/>
  <c r="I32" i="9"/>
  <c r="K31" i="9"/>
  <c r="J31" i="9"/>
  <c r="I31" i="9"/>
  <c r="K30" i="9"/>
  <c r="J30" i="9"/>
  <c r="I30" i="9"/>
  <c r="K29" i="9"/>
  <c r="J29" i="9"/>
  <c r="I29" i="9"/>
  <c r="K26" i="9"/>
  <c r="J26" i="9"/>
  <c r="I26" i="9"/>
  <c r="K25" i="9"/>
  <c r="J25" i="9"/>
  <c r="I25" i="9"/>
  <c r="K24" i="9"/>
  <c r="J24" i="9"/>
  <c r="I24" i="9"/>
  <c r="K23" i="9"/>
  <c r="J23" i="9"/>
  <c r="I23" i="9"/>
  <c r="K22" i="9"/>
  <c r="J22" i="9"/>
  <c r="I22" i="9"/>
  <c r="K21" i="9"/>
  <c r="J21" i="9"/>
  <c r="I21" i="9"/>
  <c r="K20" i="9"/>
  <c r="J20" i="9"/>
  <c r="I20" i="9"/>
  <c r="K19" i="9"/>
  <c r="J19" i="9"/>
  <c r="I19" i="9"/>
  <c r="K18" i="9"/>
  <c r="J18" i="9"/>
  <c r="I18" i="9"/>
  <c r="K17" i="9"/>
  <c r="J17" i="9"/>
  <c r="I17" i="9"/>
  <c r="K16" i="9"/>
  <c r="J16" i="9"/>
  <c r="I16" i="9"/>
  <c r="K15" i="9"/>
  <c r="J15" i="9"/>
  <c r="I15" i="9"/>
  <c r="K14" i="9"/>
  <c r="J14" i="9"/>
  <c r="I14" i="9"/>
  <c r="K13" i="9"/>
  <c r="J13" i="9"/>
  <c r="I13" i="9"/>
  <c r="K12" i="9"/>
  <c r="J12" i="9"/>
  <c r="I12" i="9"/>
  <c r="K11" i="9"/>
  <c r="J11" i="9"/>
  <c r="I11" i="9"/>
  <c r="K10" i="9"/>
  <c r="J10" i="9"/>
  <c r="I10" i="9"/>
  <c r="K9" i="9"/>
  <c r="J9" i="9"/>
  <c r="I9" i="9"/>
  <c r="K8" i="9"/>
  <c r="J8" i="9"/>
  <c r="I8" i="9"/>
  <c r="K7" i="9"/>
  <c r="J7" i="9"/>
  <c r="I7" i="9"/>
  <c r="K6" i="9"/>
  <c r="J6" i="9"/>
  <c r="I6" i="9"/>
  <c r="K146" i="9"/>
  <c r="J146" i="9"/>
  <c r="I146" i="9"/>
  <c r="K126" i="9"/>
  <c r="J126" i="9"/>
  <c r="I126" i="9"/>
  <c r="I1" i="4"/>
  <c r="AQ3" i="4" s="1"/>
  <c r="J1" i="4"/>
  <c r="AS3" i="4" s="1"/>
  <c r="K1" i="4"/>
  <c r="AU3" i="4" s="1"/>
  <c r="L3" i="9"/>
  <c r="K172" i="9"/>
  <c r="H68" i="9" l="1"/>
  <c r="I67" i="4" s="1"/>
  <c r="H105" i="9"/>
  <c r="I104" i="4" s="1"/>
  <c r="H132" i="9"/>
  <c r="I131" i="4" s="1"/>
  <c r="H139" i="9"/>
  <c r="I138" i="4" s="1"/>
  <c r="H99" i="9"/>
  <c r="I98" i="4" s="1"/>
  <c r="J139" i="9"/>
  <c r="K138" i="4" s="1"/>
  <c r="M168" i="4"/>
  <c r="AY2" i="4"/>
  <c r="H45" i="9"/>
  <c r="I44" i="4" s="1"/>
  <c r="H123" i="9"/>
  <c r="I122" i="4" s="1"/>
  <c r="K68" i="9"/>
  <c r="H113" i="9"/>
  <c r="I112" i="4" s="1"/>
  <c r="J132" i="9"/>
  <c r="K131" i="4" s="1"/>
  <c r="I123" i="9"/>
  <c r="J122" i="4" s="1"/>
  <c r="I2" i="9"/>
  <c r="I105" i="9"/>
  <c r="J104" i="4" s="1"/>
  <c r="J2" i="9"/>
  <c r="K99" i="9"/>
  <c r="L98" i="4" s="1"/>
  <c r="K132" i="9"/>
  <c r="L131" i="4" s="1"/>
  <c r="I27" i="9"/>
  <c r="J26" i="4" s="1"/>
  <c r="I45" i="9"/>
  <c r="J44" i="4" s="1"/>
  <c r="I90" i="9"/>
  <c r="J105" i="9"/>
  <c r="K104" i="4" s="1"/>
  <c r="I113" i="9"/>
  <c r="J112" i="4" s="1"/>
  <c r="J123" i="9"/>
  <c r="K122" i="4" s="1"/>
  <c r="K139" i="9"/>
  <c r="L138" i="4" s="1"/>
  <c r="J45" i="9"/>
  <c r="K44" i="4" s="1"/>
  <c r="I68" i="9"/>
  <c r="J67" i="4" s="1"/>
  <c r="I99" i="9"/>
  <c r="J98" i="4" s="1"/>
  <c r="K105" i="9"/>
  <c r="L104" i="4" s="1"/>
  <c r="J113" i="9"/>
  <c r="K112" i="4" s="1"/>
  <c r="K123" i="9"/>
  <c r="L122" i="4" s="1"/>
  <c r="I132" i="9"/>
  <c r="J131" i="4" s="1"/>
  <c r="K27" i="9"/>
  <c r="K45" i="9"/>
  <c r="L44" i="4" s="1"/>
  <c r="J68" i="9"/>
  <c r="K67" i="4" s="1"/>
  <c r="J99" i="9"/>
  <c r="K98" i="4" s="1"/>
  <c r="K113" i="9"/>
  <c r="L112" i="4" s="1"/>
  <c r="I139" i="9"/>
  <c r="J138" i="4" s="1"/>
  <c r="H90" i="9"/>
  <c r="J90" i="9"/>
  <c r="K90" i="9"/>
  <c r="J168" i="9"/>
  <c r="K169" i="4" s="1"/>
  <c r="J27" i="9"/>
  <c r="K26" i="4" s="1"/>
  <c r="H168" i="9"/>
  <c r="H27" i="9"/>
  <c r="I26" i="4" s="1"/>
  <c r="J156" i="4"/>
  <c r="K156" i="4"/>
  <c r="L156" i="4"/>
  <c r="I156" i="4"/>
  <c r="J173" i="4"/>
  <c r="M160" i="4"/>
  <c r="M161" i="4"/>
  <c r="M162" i="4"/>
  <c r="M163" i="4"/>
  <c r="M164" i="4"/>
  <c r="M165" i="4"/>
  <c r="M166" i="4"/>
  <c r="M167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7" i="4"/>
  <c r="M136" i="4"/>
  <c r="M135" i="4"/>
  <c r="M134" i="4"/>
  <c r="M133" i="4"/>
  <c r="M130" i="4"/>
  <c r="M129" i="4"/>
  <c r="M128" i="4"/>
  <c r="M127" i="4"/>
  <c r="M126" i="4"/>
  <c r="M125" i="4"/>
  <c r="M124" i="4"/>
  <c r="M121" i="4"/>
  <c r="M120" i="4"/>
  <c r="M119" i="4"/>
  <c r="M118" i="4"/>
  <c r="M117" i="4"/>
  <c r="M116" i="4"/>
  <c r="M115" i="4"/>
  <c r="M114" i="4"/>
  <c r="M111" i="4"/>
  <c r="M110" i="4"/>
  <c r="M109" i="4"/>
  <c r="M108" i="4"/>
  <c r="M107" i="4"/>
  <c r="M106" i="4"/>
  <c r="M103" i="4"/>
  <c r="M102" i="4"/>
  <c r="M101" i="4"/>
  <c r="M100" i="4"/>
  <c r="M97" i="4"/>
  <c r="M96" i="4"/>
  <c r="M95" i="4"/>
  <c r="M94" i="4"/>
  <c r="M93" i="4"/>
  <c r="M92" i="4"/>
  <c r="M91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5" i="4"/>
  <c r="K1" i="9"/>
  <c r="K2" i="9" s="1"/>
  <c r="L254" i="4"/>
  <c r="N2" i="4"/>
  <c r="M256" i="4"/>
  <c r="M255" i="4"/>
  <c r="L167" i="9"/>
  <c r="L166" i="9"/>
  <c r="L165" i="9"/>
  <c r="L164" i="9"/>
  <c r="L163" i="9"/>
  <c r="L162" i="9"/>
  <c r="L161" i="9"/>
  <c r="L160" i="9"/>
  <c r="L153" i="9"/>
  <c r="L152" i="9"/>
  <c r="L151" i="9"/>
  <c r="L150" i="9"/>
  <c r="L149" i="9"/>
  <c r="L148" i="9"/>
  <c r="L147" i="9"/>
  <c r="L145" i="9"/>
  <c r="L144" i="9"/>
  <c r="L143" i="9"/>
  <c r="L142" i="9"/>
  <c r="L141" i="9"/>
  <c r="L138" i="9"/>
  <c r="L137" i="9"/>
  <c r="L136" i="9"/>
  <c r="L135" i="9"/>
  <c r="L134" i="9"/>
  <c r="L131" i="9"/>
  <c r="L130" i="9"/>
  <c r="L129" i="9"/>
  <c r="L128" i="9"/>
  <c r="L127" i="9"/>
  <c r="L125" i="9"/>
  <c r="L122" i="9"/>
  <c r="L121" i="9"/>
  <c r="L120" i="9"/>
  <c r="L119" i="9"/>
  <c r="L118" i="9"/>
  <c r="L117" i="9"/>
  <c r="L116" i="9"/>
  <c r="L115" i="9"/>
  <c r="L112" i="9"/>
  <c r="L111" i="9"/>
  <c r="L110" i="9"/>
  <c r="L109" i="9"/>
  <c r="L108" i="9"/>
  <c r="L107" i="9"/>
  <c r="L104" i="9"/>
  <c r="L103" i="9"/>
  <c r="L102" i="9"/>
  <c r="L101" i="9"/>
  <c r="L98" i="9"/>
  <c r="L97" i="9"/>
  <c r="L96" i="9"/>
  <c r="L95" i="9"/>
  <c r="L94" i="9"/>
  <c r="L93" i="9"/>
  <c r="L92" i="9"/>
  <c r="L89" i="9"/>
  <c r="L88" i="9"/>
  <c r="L87" i="9"/>
  <c r="L86" i="9"/>
  <c r="L85" i="9"/>
  <c r="L84" i="9"/>
  <c r="L83" i="9"/>
  <c r="L82" i="9"/>
  <c r="L81" i="9"/>
  <c r="L80" i="9"/>
  <c r="L79" i="9"/>
  <c r="L78" i="9"/>
  <c r="L77" i="9"/>
  <c r="L76" i="9"/>
  <c r="L75" i="9"/>
  <c r="L74" i="9"/>
  <c r="L73" i="9"/>
  <c r="L72" i="9"/>
  <c r="L71" i="9"/>
  <c r="L70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126" i="9"/>
  <c r="L146" i="9"/>
  <c r="H154" i="9"/>
  <c r="I153" i="4" s="1"/>
  <c r="I154" i="9"/>
  <c r="J153" i="4" s="1"/>
  <c r="J154" i="9"/>
  <c r="K153" i="4" s="1"/>
  <c r="M3" i="9"/>
  <c r="L172" i="9"/>
  <c r="I168" i="9"/>
  <c r="J169" i="4" s="1"/>
  <c r="L26" i="4"/>
  <c r="L67" i="4"/>
  <c r="K154" i="9"/>
  <c r="L153" i="4" s="1"/>
  <c r="H169" i="9" l="1"/>
  <c r="I169" i="4"/>
  <c r="L89" i="4"/>
  <c r="K155" i="9"/>
  <c r="K89" i="4"/>
  <c r="J155" i="9"/>
  <c r="I89" i="4"/>
  <c r="H155" i="9"/>
  <c r="J89" i="4"/>
  <c r="I155" i="9"/>
  <c r="AZ5" i="4" a="1"/>
  <c r="AZ5" i="4" s="1"/>
  <c r="AY5" i="4" a="1"/>
  <c r="AY5" i="4" s="1"/>
  <c r="N168" i="4"/>
  <c r="BA2" i="4"/>
  <c r="K154" i="4"/>
  <c r="M254" i="4"/>
  <c r="L45" i="9"/>
  <c r="M44" i="4" s="1"/>
  <c r="L105" i="9"/>
  <c r="M104" i="4" s="1"/>
  <c r="L113" i="9"/>
  <c r="M112" i="4" s="1"/>
  <c r="L139" i="9"/>
  <c r="M138" i="4" s="1"/>
  <c r="L154" i="9"/>
  <c r="M153" i="4" s="1"/>
  <c r="L90" i="9"/>
  <c r="L99" i="9"/>
  <c r="M98" i="4" s="1"/>
  <c r="I169" i="9"/>
  <c r="J169" i="9" s="1"/>
  <c r="L132" i="9"/>
  <c r="M131" i="4" s="1"/>
  <c r="L123" i="9"/>
  <c r="M122" i="4" s="1"/>
  <c r="L68" i="9"/>
  <c r="M67" i="4" s="1"/>
  <c r="L27" i="9"/>
  <c r="M26" i="4" s="1"/>
  <c r="I157" i="4"/>
  <c r="I174" i="4" s="1"/>
  <c r="K173" i="4"/>
  <c r="M156" i="4"/>
  <c r="N160" i="4"/>
  <c r="N161" i="4"/>
  <c r="N162" i="4"/>
  <c r="N163" i="4"/>
  <c r="N164" i="4"/>
  <c r="N165" i="4"/>
  <c r="N166" i="4"/>
  <c r="N167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7" i="4"/>
  <c r="N136" i="4"/>
  <c r="N135" i="4"/>
  <c r="N134" i="4"/>
  <c r="N133" i="4"/>
  <c r="N130" i="4"/>
  <c r="N129" i="4"/>
  <c r="N128" i="4"/>
  <c r="N127" i="4"/>
  <c r="N126" i="4"/>
  <c r="N125" i="4"/>
  <c r="N124" i="4"/>
  <c r="N121" i="4"/>
  <c r="N120" i="4"/>
  <c r="N119" i="4"/>
  <c r="N118" i="4"/>
  <c r="N117" i="4"/>
  <c r="N116" i="4"/>
  <c r="N115" i="4"/>
  <c r="N114" i="4"/>
  <c r="N111" i="4"/>
  <c r="N110" i="4"/>
  <c r="N109" i="4"/>
  <c r="N108" i="4"/>
  <c r="N107" i="4"/>
  <c r="N106" i="4"/>
  <c r="N103" i="4"/>
  <c r="N102" i="4"/>
  <c r="N101" i="4"/>
  <c r="N100" i="4"/>
  <c r="N97" i="4"/>
  <c r="N96" i="4"/>
  <c r="N95" i="4"/>
  <c r="N94" i="4"/>
  <c r="N93" i="4"/>
  <c r="N92" i="4"/>
  <c r="N91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5" i="4"/>
  <c r="K171" i="9"/>
  <c r="L1" i="9"/>
  <c r="L2" i="9" s="1"/>
  <c r="M1" i="4"/>
  <c r="AY3" i="4" s="1"/>
  <c r="O2" i="4"/>
  <c r="N256" i="4"/>
  <c r="N255" i="4"/>
  <c r="M167" i="9"/>
  <c r="M166" i="9"/>
  <c r="M165" i="9"/>
  <c r="M164" i="9"/>
  <c r="M163" i="9"/>
  <c r="M162" i="9"/>
  <c r="M161" i="9"/>
  <c r="M160" i="9"/>
  <c r="M159" i="9"/>
  <c r="M153" i="9"/>
  <c r="M152" i="9"/>
  <c r="M151" i="9"/>
  <c r="M150" i="9"/>
  <c r="M149" i="9"/>
  <c r="M148" i="9"/>
  <c r="M147" i="9"/>
  <c r="M145" i="9"/>
  <c r="M144" i="9"/>
  <c r="M143" i="9"/>
  <c r="M142" i="9"/>
  <c r="M141" i="9"/>
  <c r="M138" i="9"/>
  <c r="M137" i="9"/>
  <c r="M136" i="9"/>
  <c r="M135" i="9"/>
  <c r="M134" i="9"/>
  <c r="M131" i="9"/>
  <c r="M130" i="9"/>
  <c r="M129" i="9"/>
  <c r="M128" i="9"/>
  <c r="M127" i="9"/>
  <c r="M125" i="9"/>
  <c r="M122" i="9"/>
  <c r="M121" i="9"/>
  <c r="M120" i="9"/>
  <c r="M119" i="9"/>
  <c r="M118" i="9"/>
  <c r="M117" i="9"/>
  <c r="M116" i="9"/>
  <c r="M115" i="9"/>
  <c r="M112" i="9"/>
  <c r="M111" i="9"/>
  <c r="M110" i="9"/>
  <c r="M109" i="9"/>
  <c r="M108" i="9"/>
  <c r="M107" i="9"/>
  <c r="M104" i="9"/>
  <c r="M103" i="9"/>
  <c r="M102" i="9"/>
  <c r="M101" i="9"/>
  <c r="M98" i="9"/>
  <c r="M97" i="9"/>
  <c r="M96" i="9"/>
  <c r="M95" i="9"/>
  <c r="M94" i="9"/>
  <c r="M93" i="9"/>
  <c r="M92" i="9"/>
  <c r="M89" i="9"/>
  <c r="M88" i="9"/>
  <c r="M87" i="9"/>
  <c r="M86" i="9"/>
  <c r="M85" i="9"/>
  <c r="M84" i="9"/>
  <c r="M83" i="9"/>
  <c r="M82" i="9"/>
  <c r="M81" i="9"/>
  <c r="M80" i="9"/>
  <c r="M79" i="9"/>
  <c r="M78" i="9"/>
  <c r="M77" i="9"/>
  <c r="M76" i="9"/>
  <c r="M75" i="9"/>
  <c r="M74" i="9"/>
  <c r="M73" i="9"/>
  <c r="M72" i="9"/>
  <c r="M71" i="9"/>
  <c r="M70" i="9"/>
  <c r="M67" i="9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146" i="9"/>
  <c r="M126" i="9"/>
  <c r="J154" i="4"/>
  <c r="N3" i="9"/>
  <c r="M172" i="9"/>
  <c r="L154" i="4"/>
  <c r="I170" i="4" l="1"/>
  <c r="K168" i="9"/>
  <c r="L169" i="4" s="1"/>
  <c r="M89" i="4"/>
  <c r="L155" i="9"/>
  <c r="H156" i="9"/>
  <c r="H170" i="9" s="1"/>
  <c r="I154" i="4"/>
  <c r="I155" i="4" s="1"/>
  <c r="J155" i="4" s="1"/>
  <c r="K155" i="4" s="1"/>
  <c r="L155" i="4" s="1"/>
  <c r="BB5" i="4" a="1"/>
  <c r="BB5" i="4" s="1"/>
  <c r="BA5" i="4" a="1"/>
  <c r="BA5" i="4" s="1"/>
  <c r="O168" i="4"/>
  <c r="BC2" i="4"/>
  <c r="L171" i="9"/>
  <c r="N254" i="4"/>
  <c r="M113" i="9"/>
  <c r="N112" i="4" s="1"/>
  <c r="M139" i="9"/>
  <c r="N138" i="4" s="1"/>
  <c r="M45" i="9"/>
  <c r="N44" i="4" s="1"/>
  <c r="M105" i="9"/>
  <c r="N104" i="4" s="1"/>
  <c r="M132" i="9"/>
  <c r="N131" i="4" s="1"/>
  <c r="M27" i="9"/>
  <c r="M123" i="9"/>
  <c r="N122" i="4" s="1"/>
  <c r="M99" i="9"/>
  <c r="N98" i="4" s="1"/>
  <c r="M90" i="9"/>
  <c r="M68" i="9"/>
  <c r="N67" i="4" s="1"/>
  <c r="J157" i="4"/>
  <c r="J174" i="4" s="1"/>
  <c r="L173" i="4"/>
  <c r="N156" i="4"/>
  <c r="O160" i="4"/>
  <c r="O161" i="4"/>
  <c r="O162" i="4"/>
  <c r="O163" i="4"/>
  <c r="O164" i="4"/>
  <c r="O165" i="4"/>
  <c r="O166" i="4"/>
  <c r="O167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7" i="4"/>
  <c r="O136" i="4"/>
  <c r="O135" i="4"/>
  <c r="O134" i="4"/>
  <c r="O133" i="4"/>
  <c r="O130" i="4"/>
  <c r="O129" i="4"/>
  <c r="O128" i="4"/>
  <c r="O127" i="4"/>
  <c r="O126" i="4"/>
  <c r="O125" i="4"/>
  <c r="O124" i="4"/>
  <c r="O121" i="4"/>
  <c r="O120" i="4"/>
  <c r="O119" i="4"/>
  <c r="O118" i="4"/>
  <c r="O117" i="4"/>
  <c r="O116" i="4"/>
  <c r="O115" i="4"/>
  <c r="O114" i="4"/>
  <c r="O111" i="4"/>
  <c r="O110" i="4"/>
  <c r="O109" i="4"/>
  <c r="O108" i="4"/>
  <c r="O107" i="4"/>
  <c r="O106" i="4"/>
  <c r="O103" i="4"/>
  <c r="O102" i="4"/>
  <c r="O101" i="4"/>
  <c r="O100" i="4"/>
  <c r="O97" i="4"/>
  <c r="O96" i="4"/>
  <c r="O95" i="4"/>
  <c r="O94" i="4"/>
  <c r="O93" i="4"/>
  <c r="O92" i="4"/>
  <c r="O91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5" i="4"/>
  <c r="M1" i="9"/>
  <c r="M2" i="9" s="1"/>
  <c r="N1" i="4"/>
  <c r="BA3" i="4" s="1"/>
  <c r="P2" i="4"/>
  <c r="O256" i="4"/>
  <c r="O255" i="4"/>
  <c r="N167" i="9"/>
  <c r="N166" i="9"/>
  <c r="N165" i="9"/>
  <c r="N164" i="9"/>
  <c r="N163" i="9"/>
  <c r="N162" i="9"/>
  <c r="N161" i="9"/>
  <c r="N160" i="9"/>
  <c r="N159" i="9"/>
  <c r="N153" i="9"/>
  <c r="N152" i="9"/>
  <c r="N151" i="9"/>
  <c r="N150" i="9"/>
  <c r="N149" i="9"/>
  <c r="N148" i="9"/>
  <c r="N147" i="9"/>
  <c r="N145" i="9"/>
  <c r="N144" i="9"/>
  <c r="N143" i="9"/>
  <c r="N142" i="9"/>
  <c r="N141" i="9"/>
  <c r="N138" i="9"/>
  <c r="N137" i="9"/>
  <c r="N136" i="9"/>
  <c r="N135" i="9"/>
  <c r="N134" i="9"/>
  <c r="N131" i="9"/>
  <c r="N130" i="9"/>
  <c r="N129" i="9"/>
  <c r="N128" i="9"/>
  <c r="N127" i="9"/>
  <c r="N125" i="9"/>
  <c r="N122" i="9"/>
  <c r="N121" i="9"/>
  <c r="N120" i="9"/>
  <c r="N119" i="9"/>
  <c r="N118" i="9"/>
  <c r="N117" i="9"/>
  <c r="N116" i="9"/>
  <c r="N115" i="9"/>
  <c r="N112" i="9"/>
  <c r="N111" i="9"/>
  <c r="N110" i="9"/>
  <c r="N109" i="9"/>
  <c r="N108" i="9"/>
  <c r="N107" i="9"/>
  <c r="N104" i="9"/>
  <c r="N103" i="9"/>
  <c r="N102" i="9"/>
  <c r="N101" i="9"/>
  <c r="N98" i="9"/>
  <c r="N97" i="9"/>
  <c r="N96" i="9"/>
  <c r="N95" i="9"/>
  <c r="N94" i="9"/>
  <c r="N93" i="9"/>
  <c r="N92" i="9"/>
  <c r="N89" i="9"/>
  <c r="N88" i="9"/>
  <c r="N87" i="9"/>
  <c r="N86" i="9"/>
  <c r="N85" i="9"/>
  <c r="N84" i="9"/>
  <c r="N83" i="9"/>
  <c r="N82" i="9"/>
  <c r="N81" i="9"/>
  <c r="N80" i="9"/>
  <c r="N79" i="9"/>
  <c r="N78" i="9"/>
  <c r="N77" i="9"/>
  <c r="N76" i="9"/>
  <c r="N75" i="9"/>
  <c r="N74" i="9"/>
  <c r="N73" i="9"/>
  <c r="N72" i="9"/>
  <c r="N71" i="9"/>
  <c r="N70" i="9"/>
  <c r="N67" i="9"/>
  <c r="N66" i="9"/>
  <c r="N65" i="9"/>
  <c r="N64" i="9"/>
  <c r="N63" i="9"/>
  <c r="N62" i="9"/>
  <c r="N61" i="9"/>
  <c r="N60" i="9"/>
  <c r="N59" i="9"/>
  <c r="N58" i="9"/>
  <c r="N57" i="9"/>
  <c r="N56" i="9"/>
  <c r="N55" i="9"/>
  <c r="N54" i="9"/>
  <c r="N53" i="9"/>
  <c r="N52" i="9"/>
  <c r="N51" i="9"/>
  <c r="N50" i="9"/>
  <c r="N49" i="9"/>
  <c r="N48" i="9"/>
  <c r="N47" i="9"/>
  <c r="N44" i="9"/>
  <c r="N43" i="9"/>
  <c r="N42" i="9"/>
  <c r="N41" i="9"/>
  <c r="N40" i="9"/>
  <c r="N39" i="9"/>
  <c r="N38" i="9"/>
  <c r="N37" i="9"/>
  <c r="N36" i="9"/>
  <c r="N35" i="9"/>
  <c r="N34" i="9"/>
  <c r="N33" i="9"/>
  <c r="N32" i="9"/>
  <c r="N31" i="9"/>
  <c r="N30" i="9"/>
  <c r="N29" i="9"/>
  <c r="N26" i="9"/>
  <c r="N25" i="9"/>
  <c r="N24" i="9"/>
  <c r="N23" i="9"/>
  <c r="N22" i="9"/>
  <c r="N21" i="9"/>
  <c r="N20" i="9"/>
  <c r="N19" i="9"/>
  <c r="N18" i="9"/>
  <c r="N17" i="9"/>
  <c r="N16" i="9"/>
  <c r="N15" i="9"/>
  <c r="N14" i="9"/>
  <c r="N13" i="9"/>
  <c r="N12" i="9"/>
  <c r="N11" i="9"/>
  <c r="N10" i="9"/>
  <c r="N9" i="9"/>
  <c r="N8" i="9"/>
  <c r="N7" i="9"/>
  <c r="N6" i="9"/>
  <c r="N146" i="9"/>
  <c r="N126" i="9"/>
  <c r="I156" i="9"/>
  <c r="I170" i="9" s="1"/>
  <c r="O3" i="9"/>
  <c r="N172" i="9"/>
  <c r="K169" i="9"/>
  <c r="M154" i="4"/>
  <c r="M155" i="4" s="1"/>
  <c r="N26" i="4"/>
  <c r="M154" i="9"/>
  <c r="N153" i="4" s="1"/>
  <c r="I171" i="4" l="1"/>
  <c r="J170" i="4"/>
  <c r="L168" i="9"/>
  <c r="M169" i="4" s="1"/>
  <c r="N89" i="4"/>
  <c r="M155" i="9"/>
  <c r="BD5" i="4" a="1"/>
  <c r="BD5" i="4" s="1"/>
  <c r="BC5" i="4" a="1"/>
  <c r="BC5" i="4" s="1"/>
  <c r="P168" i="4"/>
  <c r="AQ15" i="4"/>
  <c r="M171" i="9"/>
  <c r="O254" i="4"/>
  <c r="N45" i="9"/>
  <c r="O44" i="4" s="1"/>
  <c r="N105" i="9"/>
  <c r="O104" i="4" s="1"/>
  <c r="N132" i="9"/>
  <c r="O131" i="4" s="1"/>
  <c r="N154" i="9"/>
  <c r="O153" i="4" s="1"/>
  <c r="N113" i="9"/>
  <c r="O112" i="4" s="1"/>
  <c r="N139" i="9"/>
  <c r="O138" i="4" s="1"/>
  <c r="N123" i="9"/>
  <c r="O122" i="4" s="1"/>
  <c r="N99" i="9"/>
  <c r="O98" i="4" s="1"/>
  <c r="N90" i="9"/>
  <c r="N68" i="9"/>
  <c r="O67" i="4" s="1"/>
  <c r="N27" i="9"/>
  <c r="O26" i="4" s="1"/>
  <c r="K157" i="4"/>
  <c r="K174" i="4" s="1"/>
  <c r="M173" i="4"/>
  <c r="O156" i="4"/>
  <c r="P160" i="4"/>
  <c r="P161" i="4"/>
  <c r="P162" i="4"/>
  <c r="P163" i="4"/>
  <c r="P164" i="4"/>
  <c r="P165" i="4"/>
  <c r="P166" i="4"/>
  <c r="P167" i="4"/>
  <c r="P152" i="4"/>
  <c r="P151" i="4"/>
  <c r="P150" i="4"/>
  <c r="P149" i="4"/>
  <c r="P148" i="4"/>
  <c r="P147" i="4"/>
  <c r="P146" i="4"/>
  <c r="P145" i="4"/>
  <c r="P144" i="4"/>
  <c r="P143" i="4"/>
  <c r="P142" i="4"/>
  <c r="P141" i="4"/>
  <c r="P140" i="4"/>
  <c r="P137" i="4"/>
  <c r="P136" i="4"/>
  <c r="P135" i="4"/>
  <c r="P134" i="4"/>
  <c r="P133" i="4"/>
  <c r="P130" i="4"/>
  <c r="P129" i="4"/>
  <c r="P128" i="4"/>
  <c r="P127" i="4"/>
  <c r="P126" i="4"/>
  <c r="P125" i="4"/>
  <c r="P124" i="4"/>
  <c r="P121" i="4"/>
  <c r="P120" i="4"/>
  <c r="P119" i="4"/>
  <c r="P118" i="4"/>
  <c r="P117" i="4"/>
  <c r="P116" i="4"/>
  <c r="P115" i="4"/>
  <c r="P114" i="4"/>
  <c r="P111" i="4"/>
  <c r="P110" i="4"/>
  <c r="P109" i="4"/>
  <c r="P108" i="4"/>
  <c r="P107" i="4"/>
  <c r="P106" i="4"/>
  <c r="P103" i="4"/>
  <c r="P102" i="4"/>
  <c r="P101" i="4"/>
  <c r="P100" i="4"/>
  <c r="P97" i="4"/>
  <c r="P96" i="4"/>
  <c r="P95" i="4"/>
  <c r="P94" i="4"/>
  <c r="P93" i="4"/>
  <c r="P92" i="4"/>
  <c r="P91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5" i="4"/>
  <c r="N1" i="9"/>
  <c r="N2" i="9" s="1"/>
  <c r="O1" i="4"/>
  <c r="BC3" i="4" s="1"/>
  <c r="Q2" i="4"/>
  <c r="P256" i="4"/>
  <c r="P255" i="4"/>
  <c r="O167" i="9"/>
  <c r="O166" i="9"/>
  <c r="O165" i="9"/>
  <c r="O164" i="9"/>
  <c r="O163" i="9"/>
  <c r="O162" i="9"/>
  <c r="O161" i="9"/>
  <c r="O160" i="9"/>
  <c r="O159" i="9"/>
  <c r="O153" i="9"/>
  <c r="O152" i="9"/>
  <c r="O151" i="9"/>
  <c r="O150" i="9"/>
  <c r="O149" i="9"/>
  <c r="O148" i="9"/>
  <c r="O147" i="9"/>
  <c r="O145" i="9"/>
  <c r="O144" i="9"/>
  <c r="O143" i="9"/>
  <c r="O142" i="9"/>
  <c r="O141" i="9"/>
  <c r="O138" i="9"/>
  <c r="O137" i="9"/>
  <c r="O136" i="9"/>
  <c r="O135" i="9"/>
  <c r="O134" i="9"/>
  <c r="O131" i="9"/>
  <c r="O130" i="9"/>
  <c r="O129" i="9"/>
  <c r="O128" i="9"/>
  <c r="O127" i="9"/>
  <c r="O125" i="9"/>
  <c r="O122" i="9"/>
  <c r="O121" i="9"/>
  <c r="O120" i="9"/>
  <c r="O119" i="9"/>
  <c r="O118" i="9"/>
  <c r="O117" i="9"/>
  <c r="O116" i="9"/>
  <c r="O115" i="9"/>
  <c r="O112" i="9"/>
  <c r="O111" i="9"/>
  <c r="O110" i="9"/>
  <c r="O109" i="9"/>
  <c r="O108" i="9"/>
  <c r="O107" i="9"/>
  <c r="O104" i="9"/>
  <c r="O103" i="9"/>
  <c r="O102" i="9"/>
  <c r="O101" i="9"/>
  <c r="O98" i="9"/>
  <c r="O97" i="9"/>
  <c r="O96" i="9"/>
  <c r="O95" i="9"/>
  <c r="O94" i="9"/>
  <c r="O93" i="9"/>
  <c r="O92" i="9"/>
  <c r="O89" i="9"/>
  <c r="O88" i="9"/>
  <c r="O87" i="9"/>
  <c r="O86" i="9"/>
  <c r="O85" i="9"/>
  <c r="O84" i="9"/>
  <c r="O83" i="9"/>
  <c r="O82" i="9"/>
  <c r="O81" i="9"/>
  <c r="O80" i="9"/>
  <c r="O79" i="9"/>
  <c r="O78" i="9"/>
  <c r="O77" i="9"/>
  <c r="O76" i="9"/>
  <c r="O75" i="9"/>
  <c r="O74" i="9"/>
  <c r="O73" i="9"/>
  <c r="O72" i="9"/>
  <c r="O71" i="9"/>
  <c r="O70" i="9"/>
  <c r="O67" i="9"/>
  <c r="O66" i="9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O51" i="9"/>
  <c r="O50" i="9"/>
  <c r="O49" i="9"/>
  <c r="O48" i="9"/>
  <c r="O47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146" i="9"/>
  <c r="O126" i="9"/>
  <c r="J156" i="9"/>
  <c r="J170" i="9" s="1"/>
  <c r="P3" i="9"/>
  <c r="O172" i="9"/>
  <c r="L169" i="9"/>
  <c r="N154" i="4"/>
  <c r="N155" i="4" s="1"/>
  <c r="K170" i="4" l="1"/>
  <c r="J171" i="4"/>
  <c r="M168" i="9"/>
  <c r="N169" i="4" s="1"/>
  <c r="O89" i="4"/>
  <c r="N155" i="9"/>
  <c r="AR16" i="4" a="1"/>
  <c r="AR16" i="4" s="1"/>
  <c r="AQ16" i="4" a="1"/>
  <c r="AQ16" i="4" s="1"/>
  <c r="Q168" i="4"/>
  <c r="AS15" i="4"/>
  <c r="N171" i="9"/>
  <c r="P254" i="4"/>
  <c r="O105" i="9"/>
  <c r="P104" i="4" s="1"/>
  <c r="O113" i="9"/>
  <c r="P112" i="4" s="1"/>
  <c r="O139" i="9"/>
  <c r="P138" i="4" s="1"/>
  <c r="O123" i="9"/>
  <c r="P122" i="4" s="1"/>
  <c r="O45" i="9"/>
  <c r="P44" i="4" s="1"/>
  <c r="O27" i="9"/>
  <c r="P26" i="4" s="1"/>
  <c r="O132" i="9"/>
  <c r="P131" i="4" s="1"/>
  <c r="O99" i="9"/>
  <c r="P98" i="4" s="1"/>
  <c r="O90" i="9"/>
  <c r="O68" i="9"/>
  <c r="P67" i="4" s="1"/>
  <c r="L157" i="4"/>
  <c r="L174" i="4" s="1"/>
  <c r="N173" i="4"/>
  <c r="P156" i="4"/>
  <c r="Q160" i="4"/>
  <c r="Q161" i="4"/>
  <c r="Q162" i="4"/>
  <c r="Q163" i="4"/>
  <c r="Q164" i="4"/>
  <c r="Q165" i="4"/>
  <c r="Q166" i="4"/>
  <c r="Q167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7" i="4"/>
  <c r="Q136" i="4"/>
  <c r="Q135" i="4"/>
  <c r="Q134" i="4"/>
  <c r="Q133" i="4"/>
  <c r="Q130" i="4"/>
  <c r="Q129" i="4"/>
  <c r="Q128" i="4"/>
  <c r="Q127" i="4"/>
  <c r="Q126" i="4"/>
  <c r="Q125" i="4"/>
  <c r="Q124" i="4"/>
  <c r="Q121" i="4"/>
  <c r="Q120" i="4"/>
  <c r="Q119" i="4"/>
  <c r="Q118" i="4"/>
  <c r="Q117" i="4"/>
  <c r="Q116" i="4"/>
  <c r="Q115" i="4"/>
  <c r="Q114" i="4"/>
  <c r="Q111" i="4"/>
  <c r="Q110" i="4"/>
  <c r="Q109" i="4"/>
  <c r="Q108" i="4"/>
  <c r="Q107" i="4"/>
  <c r="Q106" i="4"/>
  <c r="Q103" i="4"/>
  <c r="Q102" i="4"/>
  <c r="Q101" i="4"/>
  <c r="Q100" i="4"/>
  <c r="Q97" i="4"/>
  <c r="Q96" i="4"/>
  <c r="Q95" i="4"/>
  <c r="Q94" i="4"/>
  <c r="Q93" i="4"/>
  <c r="Q92" i="4"/>
  <c r="Q91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5" i="4"/>
  <c r="O1" i="9"/>
  <c r="O2" i="9" s="1"/>
  <c r="P1" i="4"/>
  <c r="R2" i="4"/>
  <c r="Q256" i="4"/>
  <c r="Q255" i="4"/>
  <c r="P167" i="9"/>
  <c r="P166" i="9"/>
  <c r="P165" i="9"/>
  <c r="P164" i="9"/>
  <c r="P163" i="9"/>
  <c r="P162" i="9"/>
  <c r="P161" i="9"/>
  <c r="P160" i="9"/>
  <c r="P159" i="9"/>
  <c r="P153" i="9"/>
  <c r="P152" i="9"/>
  <c r="P151" i="9"/>
  <c r="P150" i="9"/>
  <c r="P149" i="9"/>
  <c r="P148" i="9"/>
  <c r="P147" i="9"/>
  <c r="P145" i="9"/>
  <c r="P144" i="9"/>
  <c r="P143" i="9"/>
  <c r="P142" i="9"/>
  <c r="P141" i="9"/>
  <c r="P138" i="9"/>
  <c r="P137" i="9"/>
  <c r="P136" i="9"/>
  <c r="P135" i="9"/>
  <c r="P134" i="9"/>
  <c r="P131" i="9"/>
  <c r="P130" i="9"/>
  <c r="P129" i="9"/>
  <c r="P128" i="9"/>
  <c r="P127" i="9"/>
  <c r="P125" i="9"/>
  <c r="P122" i="9"/>
  <c r="P121" i="9"/>
  <c r="P120" i="9"/>
  <c r="P119" i="9"/>
  <c r="P118" i="9"/>
  <c r="P117" i="9"/>
  <c r="P116" i="9"/>
  <c r="P115" i="9"/>
  <c r="P112" i="9"/>
  <c r="P111" i="9"/>
  <c r="P110" i="9"/>
  <c r="P109" i="9"/>
  <c r="P108" i="9"/>
  <c r="P107" i="9"/>
  <c r="P104" i="9"/>
  <c r="P103" i="9"/>
  <c r="P102" i="9"/>
  <c r="P101" i="9"/>
  <c r="P98" i="9"/>
  <c r="P97" i="9"/>
  <c r="P96" i="9"/>
  <c r="P95" i="9"/>
  <c r="P94" i="9"/>
  <c r="P93" i="9"/>
  <c r="P92" i="9"/>
  <c r="P89" i="9"/>
  <c r="P88" i="9"/>
  <c r="P87" i="9"/>
  <c r="P86" i="9"/>
  <c r="P85" i="9"/>
  <c r="P84" i="9"/>
  <c r="P83" i="9"/>
  <c r="P82" i="9"/>
  <c r="P81" i="9"/>
  <c r="P80" i="9"/>
  <c r="P79" i="9"/>
  <c r="P78" i="9"/>
  <c r="P77" i="9"/>
  <c r="P76" i="9"/>
  <c r="P75" i="9"/>
  <c r="P74" i="9"/>
  <c r="P73" i="9"/>
  <c r="P72" i="9"/>
  <c r="P71" i="9"/>
  <c r="P70" i="9"/>
  <c r="P67" i="9"/>
  <c r="P66" i="9"/>
  <c r="P65" i="9"/>
  <c r="P64" i="9"/>
  <c r="P63" i="9"/>
  <c r="P62" i="9"/>
  <c r="P61" i="9"/>
  <c r="P60" i="9"/>
  <c r="P59" i="9"/>
  <c r="P58" i="9"/>
  <c r="P57" i="9"/>
  <c r="P56" i="9"/>
  <c r="P55" i="9"/>
  <c r="P54" i="9"/>
  <c r="P53" i="9"/>
  <c r="P52" i="9"/>
  <c r="P51" i="9"/>
  <c r="P50" i="9"/>
  <c r="P49" i="9"/>
  <c r="P48" i="9"/>
  <c r="P47" i="9"/>
  <c r="P44" i="9"/>
  <c r="P43" i="9"/>
  <c r="P42" i="9"/>
  <c r="P41" i="9"/>
  <c r="P40" i="9"/>
  <c r="P39" i="9"/>
  <c r="P38" i="9"/>
  <c r="P37" i="9"/>
  <c r="P36" i="9"/>
  <c r="P35" i="9"/>
  <c r="P34" i="9"/>
  <c r="P33" i="9"/>
  <c r="P32" i="9"/>
  <c r="P31" i="9"/>
  <c r="P30" i="9"/>
  <c r="P29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146" i="9"/>
  <c r="P126" i="9"/>
  <c r="K156" i="9"/>
  <c r="K170" i="9" s="1"/>
  <c r="Q3" i="9"/>
  <c r="P172" i="9"/>
  <c r="M169" i="9"/>
  <c r="O154" i="4"/>
  <c r="O155" i="4" s="1"/>
  <c r="O154" i="9"/>
  <c r="P153" i="4" s="1"/>
  <c r="K171" i="4" l="1"/>
  <c r="L170" i="4"/>
  <c r="N168" i="9"/>
  <c r="O169" i="4" s="1"/>
  <c r="P89" i="4"/>
  <c r="O155" i="9"/>
  <c r="AT16" i="4" a="1"/>
  <c r="AT16" i="4" s="1"/>
  <c r="AS16" i="4" a="1"/>
  <c r="AS16" i="4" s="1"/>
  <c r="R168" i="4"/>
  <c r="AU15" i="4"/>
  <c r="O171" i="9"/>
  <c r="Q254" i="4"/>
  <c r="P154" i="9"/>
  <c r="Q153" i="4" s="1"/>
  <c r="P45" i="9"/>
  <c r="Q44" i="4" s="1"/>
  <c r="P123" i="9"/>
  <c r="Q122" i="4" s="1"/>
  <c r="P68" i="9"/>
  <c r="Q67" i="4" s="1"/>
  <c r="P105" i="9"/>
  <c r="Q104" i="4" s="1"/>
  <c r="P113" i="9"/>
  <c r="Q112" i="4" s="1"/>
  <c r="P139" i="9"/>
  <c r="Q138" i="4" s="1"/>
  <c r="P90" i="9"/>
  <c r="P99" i="9"/>
  <c r="Q98" i="4" s="1"/>
  <c r="P132" i="9"/>
  <c r="Q131" i="4" s="1"/>
  <c r="P27" i="9"/>
  <c r="Q26" i="4" s="1"/>
  <c r="M157" i="4"/>
  <c r="M174" i="4" s="1"/>
  <c r="O173" i="4"/>
  <c r="Q156" i="4"/>
  <c r="R160" i="4"/>
  <c r="R161" i="4"/>
  <c r="R162" i="4"/>
  <c r="R163" i="4"/>
  <c r="R164" i="4"/>
  <c r="R165" i="4"/>
  <c r="R166" i="4"/>
  <c r="R167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7" i="4"/>
  <c r="R136" i="4"/>
  <c r="R135" i="4"/>
  <c r="R134" i="4"/>
  <c r="R133" i="4"/>
  <c r="R130" i="4"/>
  <c r="R129" i="4"/>
  <c r="R128" i="4"/>
  <c r="R127" i="4"/>
  <c r="R126" i="4"/>
  <c r="R125" i="4"/>
  <c r="R124" i="4"/>
  <c r="R121" i="4"/>
  <c r="R120" i="4"/>
  <c r="R119" i="4"/>
  <c r="R118" i="4"/>
  <c r="R117" i="4"/>
  <c r="R116" i="4"/>
  <c r="R115" i="4"/>
  <c r="R114" i="4"/>
  <c r="R111" i="4"/>
  <c r="R110" i="4"/>
  <c r="R109" i="4"/>
  <c r="R108" i="4"/>
  <c r="R107" i="4"/>
  <c r="R106" i="4"/>
  <c r="R103" i="4"/>
  <c r="R102" i="4"/>
  <c r="R101" i="4"/>
  <c r="R100" i="4"/>
  <c r="R97" i="4"/>
  <c r="R96" i="4"/>
  <c r="R95" i="4"/>
  <c r="R94" i="4"/>
  <c r="R93" i="4"/>
  <c r="R92" i="4"/>
  <c r="R91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5" i="4"/>
  <c r="P1" i="9"/>
  <c r="P2" i="9" s="1"/>
  <c r="Q1" i="4"/>
  <c r="S2" i="4"/>
  <c r="R256" i="4"/>
  <c r="R255" i="4"/>
  <c r="Q167" i="9"/>
  <c r="Q166" i="9"/>
  <c r="Q165" i="9"/>
  <c r="Q164" i="9"/>
  <c r="Q163" i="9"/>
  <c r="Q162" i="9"/>
  <c r="Q161" i="9"/>
  <c r="Q160" i="9"/>
  <c r="Q159" i="9"/>
  <c r="Q153" i="9"/>
  <c r="Q152" i="9"/>
  <c r="Q151" i="9"/>
  <c r="Q150" i="9"/>
  <c r="Q149" i="9"/>
  <c r="Q148" i="9"/>
  <c r="Q147" i="9"/>
  <c r="Q145" i="9"/>
  <c r="Q144" i="9"/>
  <c r="Q143" i="9"/>
  <c r="Q142" i="9"/>
  <c r="Q141" i="9"/>
  <c r="Q138" i="9"/>
  <c r="Q137" i="9"/>
  <c r="Q136" i="9"/>
  <c r="Q135" i="9"/>
  <c r="Q134" i="9"/>
  <c r="Q131" i="9"/>
  <c r="Q130" i="9"/>
  <c r="Q129" i="9"/>
  <c r="Q128" i="9"/>
  <c r="Q127" i="9"/>
  <c r="Q125" i="9"/>
  <c r="Q122" i="9"/>
  <c r="Q121" i="9"/>
  <c r="Q120" i="9"/>
  <c r="Q119" i="9"/>
  <c r="Q118" i="9"/>
  <c r="Q117" i="9"/>
  <c r="Q116" i="9"/>
  <c r="Q115" i="9"/>
  <c r="Q112" i="9"/>
  <c r="Q111" i="9"/>
  <c r="Q110" i="9"/>
  <c r="Q109" i="9"/>
  <c r="Q108" i="9"/>
  <c r="Q107" i="9"/>
  <c r="Q104" i="9"/>
  <c r="Q103" i="9"/>
  <c r="Q102" i="9"/>
  <c r="Q101" i="9"/>
  <c r="Q98" i="9"/>
  <c r="Q97" i="9"/>
  <c r="Q96" i="9"/>
  <c r="Q95" i="9"/>
  <c r="Q94" i="9"/>
  <c r="Q93" i="9"/>
  <c r="Q92" i="9"/>
  <c r="Q89" i="9"/>
  <c r="Q88" i="9"/>
  <c r="Q87" i="9"/>
  <c r="Q86" i="9"/>
  <c r="Q85" i="9"/>
  <c r="Q84" i="9"/>
  <c r="Q83" i="9"/>
  <c r="Q82" i="9"/>
  <c r="Q81" i="9"/>
  <c r="Q80" i="9"/>
  <c r="Q79" i="9"/>
  <c r="Q78" i="9"/>
  <c r="Q77" i="9"/>
  <c r="Q76" i="9"/>
  <c r="Q75" i="9"/>
  <c r="Q74" i="9"/>
  <c r="Q73" i="9"/>
  <c r="Q72" i="9"/>
  <c r="Q71" i="9"/>
  <c r="Q70" i="9"/>
  <c r="Q67" i="9"/>
  <c r="Q66" i="9"/>
  <c r="Q65" i="9"/>
  <c r="Q64" i="9"/>
  <c r="Q63" i="9"/>
  <c r="Q62" i="9"/>
  <c r="Q61" i="9"/>
  <c r="Q60" i="9"/>
  <c r="Q59" i="9"/>
  <c r="Q58" i="9"/>
  <c r="Q57" i="9"/>
  <c r="Q56" i="9"/>
  <c r="Q55" i="9"/>
  <c r="Q54" i="9"/>
  <c r="Q53" i="9"/>
  <c r="Q52" i="9"/>
  <c r="Q51" i="9"/>
  <c r="Q50" i="9"/>
  <c r="Q49" i="9"/>
  <c r="Q48" i="9"/>
  <c r="Q47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10" i="9"/>
  <c r="Q9" i="9"/>
  <c r="Q8" i="9"/>
  <c r="Q7" i="9"/>
  <c r="Q6" i="9"/>
  <c r="Q146" i="9"/>
  <c r="Q126" i="9"/>
  <c r="L156" i="9"/>
  <c r="L170" i="9" s="1"/>
  <c r="R3" i="9"/>
  <c r="Q172" i="9"/>
  <c r="N169" i="9"/>
  <c r="P154" i="4"/>
  <c r="P155" i="4" s="1"/>
  <c r="L171" i="4" l="1"/>
  <c r="M170" i="4"/>
  <c r="O168" i="9"/>
  <c r="P169" i="4" s="1"/>
  <c r="Q89" i="4"/>
  <c r="P155" i="9"/>
  <c r="AV16" i="4" a="1"/>
  <c r="AV16" i="4" s="1"/>
  <c r="AU16" i="4" a="1"/>
  <c r="AU16" i="4" s="1"/>
  <c r="S168" i="4"/>
  <c r="AW15" i="4"/>
  <c r="P171" i="9"/>
  <c r="R254" i="4"/>
  <c r="Q123" i="9"/>
  <c r="R122" i="4" s="1"/>
  <c r="Q45" i="9"/>
  <c r="R44" i="4" s="1"/>
  <c r="Q105" i="9"/>
  <c r="R104" i="4" s="1"/>
  <c r="Q113" i="9"/>
  <c r="R112" i="4" s="1"/>
  <c r="Q139" i="9"/>
  <c r="R138" i="4" s="1"/>
  <c r="Q132" i="9"/>
  <c r="R131" i="4" s="1"/>
  <c r="Q99" i="9"/>
  <c r="R98" i="4" s="1"/>
  <c r="Q90" i="9"/>
  <c r="Q68" i="9"/>
  <c r="Q27" i="9"/>
  <c r="N157" i="4"/>
  <c r="N174" i="4" s="1"/>
  <c r="P173" i="4"/>
  <c r="R156" i="4"/>
  <c r="S160" i="4"/>
  <c r="S161" i="4"/>
  <c r="S162" i="4"/>
  <c r="S163" i="4"/>
  <c r="S164" i="4"/>
  <c r="S165" i="4"/>
  <c r="S166" i="4"/>
  <c r="S167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7" i="4"/>
  <c r="S136" i="4"/>
  <c r="S135" i="4"/>
  <c r="S134" i="4"/>
  <c r="S133" i="4"/>
  <c r="S130" i="4"/>
  <c r="S129" i="4"/>
  <c r="S128" i="4"/>
  <c r="S127" i="4"/>
  <c r="S126" i="4"/>
  <c r="S125" i="4"/>
  <c r="S124" i="4"/>
  <c r="S121" i="4"/>
  <c r="S120" i="4"/>
  <c r="S119" i="4"/>
  <c r="S118" i="4"/>
  <c r="S117" i="4"/>
  <c r="S116" i="4"/>
  <c r="S115" i="4"/>
  <c r="S114" i="4"/>
  <c r="S111" i="4"/>
  <c r="S110" i="4"/>
  <c r="S109" i="4"/>
  <c r="S108" i="4"/>
  <c r="S107" i="4"/>
  <c r="S106" i="4"/>
  <c r="S103" i="4"/>
  <c r="S102" i="4"/>
  <c r="S101" i="4"/>
  <c r="S100" i="4"/>
  <c r="S97" i="4"/>
  <c r="S96" i="4"/>
  <c r="S95" i="4"/>
  <c r="S94" i="4"/>
  <c r="S93" i="4"/>
  <c r="S92" i="4"/>
  <c r="S91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5" i="4"/>
  <c r="Q1" i="9"/>
  <c r="Q2" i="9" s="1"/>
  <c r="R1" i="4"/>
  <c r="T2" i="4"/>
  <c r="S256" i="4"/>
  <c r="S255" i="4"/>
  <c r="R167" i="9"/>
  <c r="R166" i="9"/>
  <c r="R165" i="9"/>
  <c r="R164" i="9"/>
  <c r="R163" i="9"/>
  <c r="R162" i="9"/>
  <c r="R161" i="9"/>
  <c r="R160" i="9"/>
  <c r="R159" i="9"/>
  <c r="R153" i="9"/>
  <c r="R152" i="9"/>
  <c r="R151" i="9"/>
  <c r="R150" i="9"/>
  <c r="R149" i="9"/>
  <c r="R148" i="9"/>
  <c r="R147" i="9"/>
  <c r="R145" i="9"/>
  <c r="R144" i="9"/>
  <c r="R143" i="9"/>
  <c r="R142" i="9"/>
  <c r="R141" i="9"/>
  <c r="R138" i="9"/>
  <c r="R137" i="9"/>
  <c r="R136" i="9"/>
  <c r="R135" i="9"/>
  <c r="R134" i="9"/>
  <c r="R131" i="9"/>
  <c r="R130" i="9"/>
  <c r="R129" i="9"/>
  <c r="R128" i="9"/>
  <c r="R127" i="9"/>
  <c r="R125" i="9"/>
  <c r="R122" i="9"/>
  <c r="R121" i="9"/>
  <c r="R120" i="9"/>
  <c r="R119" i="9"/>
  <c r="R118" i="9"/>
  <c r="R117" i="9"/>
  <c r="R116" i="9"/>
  <c r="R115" i="9"/>
  <c r="R112" i="9"/>
  <c r="R111" i="9"/>
  <c r="R110" i="9"/>
  <c r="R109" i="9"/>
  <c r="R108" i="9"/>
  <c r="R107" i="9"/>
  <c r="R104" i="9"/>
  <c r="R103" i="9"/>
  <c r="R102" i="9"/>
  <c r="R101" i="9"/>
  <c r="R98" i="9"/>
  <c r="R97" i="9"/>
  <c r="R96" i="9"/>
  <c r="R95" i="9"/>
  <c r="R94" i="9"/>
  <c r="R93" i="9"/>
  <c r="R92" i="9"/>
  <c r="R89" i="9"/>
  <c r="R88" i="9"/>
  <c r="R87" i="9"/>
  <c r="R86" i="9"/>
  <c r="R85" i="9"/>
  <c r="R84" i="9"/>
  <c r="R83" i="9"/>
  <c r="R82" i="9"/>
  <c r="R81" i="9"/>
  <c r="R80" i="9"/>
  <c r="R79" i="9"/>
  <c r="R78" i="9"/>
  <c r="R77" i="9"/>
  <c r="R76" i="9"/>
  <c r="R75" i="9"/>
  <c r="R74" i="9"/>
  <c r="R73" i="9"/>
  <c r="R72" i="9"/>
  <c r="R71" i="9"/>
  <c r="R70" i="9"/>
  <c r="R67" i="9"/>
  <c r="R66" i="9"/>
  <c r="R65" i="9"/>
  <c r="R64" i="9"/>
  <c r="R63" i="9"/>
  <c r="R62" i="9"/>
  <c r="R61" i="9"/>
  <c r="R60" i="9"/>
  <c r="R59" i="9"/>
  <c r="R58" i="9"/>
  <c r="R57" i="9"/>
  <c r="R56" i="9"/>
  <c r="R55" i="9"/>
  <c r="R54" i="9"/>
  <c r="R53" i="9"/>
  <c r="R52" i="9"/>
  <c r="R51" i="9"/>
  <c r="R50" i="9"/>
  <c r="R49" i="9"/>
  <c r="R48" i="9"/>
  <c r="R47" i="9"/>
  <c r="R44" i="9"/>
  <c r="R43" i="9"/>
  <c r="R42" i="9"/>
  <c r="R41" i="9"/>
  <c r="R40" i="9"/>
  <c r="R39" i="9"/>
  <c r="R38" i="9"/>
  <c r="R37" i="9"/>
  <c r="R36" i="9"/>
  <c r="R35" i="9"/>
  <c r="R34" i="9"/>
  <c r="R33" i="9"/>
  <c r="R32" i="9"/>
  <c r="R31" i="9"/>
  <c r="R30" i="9"/>
  <c r="R29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146" i="9"/>
  <c r="R126" i="9"/>
  <c r="M156" i="9"/>
  <c r="M170" i="9" s="1"/>
  <c r="S3" i="9"/>
  <c r="R172" i="9"/>
  <c r="O169" i="9"/>
  <c r="Q154" i="4"/>
  <c r="Q155" i="4" s="1"/>
  <c r="R26" i="4"/>
  <c r="R67" i="4"/>
  <c r="Q154" i="9"/>
  <c r="R153" i="4" s="1"/>
  <c r="M171" i="4" l="1"/>
  <c r="N170" i="4"/>
  <c r="P168" i="9"/>
  <c r="Q169" i="4" s="1"/>
  <c r="R89" i="4"/>
  <c r="Q155" i="9"/>
  <c r="AX16" i="4" a="1"/>
  <c r="AX16" i="4" s="1"/>
  <c r="AW16" i="4" a="1"/>
  <c r="AW16" i="4" s="1"/>
  <c r="T168" i="4"/>
  <c r="AY15" i="4"/>
  <c r="Q171" i="9"/>
  <c r="S254" i="4"/>
  <c r="R105" i="9"/>
  <c r="S104" i="4" s="1"/>
  <c r="R45" i="9"/>
  <c r="S44" i="4" s="1"/>
  <c r="R139" i="9"/>
  <c r="S138" i="4" s="1"/>
  <c r="R113" i="9"/>
  <c r="S112" i="4" s="1"/>
  <c r="R132" i="9"/>
  <c r="S131" i="4" s="1"/>
  <c r="R154" i="9"/>
  <c r="S153" i="4" s="1"/>
  <c r="R123" i="9"/>
  <c r="S122" i="4" s="1"/>
  <c r="R99" i="9"/>
  <c r="S98" i="4" s="1"/>
  <c r="R90" i="9"/>
  <c r="R68" i="9"/>
  <c r="S67" i="4" s="1"/>
  <c r="R27" i="9"/>
  <c r="S26" i="4" s="1"/>
  <c r="O157" i="4"/>
  <c r="O174" i="4" s="1"/>
  <c r="Q173" i="4"/>
  <c r="S156" i="4"/>
  <c r="T160" i="4"/>
  <c r="T161" i="4"/>
  <c r="T162" i="4"/>
  <c r="T163" i="4"/>
  <c r="T164" i="4"/>
  <c r="T165" i="4"/>
  <c r="T166" i="4"/>
  <c r="T167" i="4"/>
  <c r="T152" i="4"/>
  <c r="T151" i="4"/>
  <c r="T150" i="4"/>
  <c r="T149" i="4"/>
  <c r="T148" i="4"/>
  <c r="T147" i="4"/>
  <c r="T146" i="4"/>
  <c r="T145" i="4"/>
  <c r="T144" i="4"/>
  <c r="T143" i="4"/>
  <c r="T142" i="4"/>
  <c r="T141" i="4"/>
  <c r="T140" i="4"/>
  <c r="T137" i="4"/>
  <c r="T136" i="4"/>
  <c r="T135" i="4"/>
  <c r="T134" i="4"/>
  <c r="T133" i="4"/>
  <c r="T130" i="4"/>
  <c r="T129" i="4"/>
  <c r="T128" i="4"/>
  <c r="T127" i="4"/>
  <c r="T126" i="4"/>
  <c r="T125" i="4"/>
  <c r="T124" i="4"/>
  <c r="T121" i="4"/>
  <c r="T120" i="4"/>
  <c r="T119" i="4"/>
  <c r="T118" i="4"/>
  <c r="T117" i="4"/>
  <c r="T116" i="4"/>
  <c r="T115" i="4"/>
  <c r="T114" i="4"/>
  <c r="T111" i="4"/>
  <c r="T110" i="4"/>
  <c r="T109" i="4"/>
  <c r="T108" i="4"/>
  <c r="T107" i="4"/>
  <c r="T106" i="4"/>
  <c r="T103" i="4"/>
  <c r="T102" i="4"/>
  <c r="T101" i="4"/>
  <c r="T100" i="4"/>
  <c r="T97" i="4"/>
  <c r="T96" i="4"/>
  <c r="T95" i="4"/>
  <c r="T94" i="4"/>
  <c r="T93" i="4"/>
  <c r="T92" i="4"/>
  <c r="T91" i="4"/>
  <c r="T88" i="4"/>
  <c r="T87" i="4"/>
  <c r="T86" i="4"/>
  <c r="T85" i="4"/>
  <c r="T84" i="4"/>
  <c r="T83" i="4"/>
  <c r="T82" i="4"/>
  <c r="T81" i="4"/>
  <c r="T80" i="4"/>
  <c r="T79" i="4"/>
  <c r="T78" i="4"/>
  <c r="T77" i="4"/>
  <c r="T76" i="4"/>
  <c r="T75" i="4"/>
  <c r="T74" i="4"/>
  <c r="T73" i="4"/>
  <c r="T72" i="4"/>
  <c r="T71" i="4"/>
  <c r="T70" i="4"/>
  <c r="T69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5" i="4"/>
  <c r="R1" i="9"/>
  <c r="R2" i="9" s="1"/>
  <c r="S1" i="4"/>
  <c r="U2" i="4"/>
  <c r="T256" i="4"/>
  <c r="T255" i="4"/>
  <c r="S167" i="9"/>
  <c r="S166" i="9"/>
  <c r="S165" i="9"/>
  <c r="S164" i="9"/>
  <c r="S163" i="9"/>
  <c r="S162" i="9"/>
  <c r="S161" i="9"/>
  <c r="S160" i="9"/>
  <c r="S159" i="9"/>
  <c r="S153" i="9"/>
  <c r="S152" i="9"/>
  <c r="S151" i="9"/>
  <c r="S150" i="9"/>
  <c r="S149" i="9"/>
  <c r="S148" i="9"/>
  <c r="S147" i="9"/>
  <c r="S145" i="9"/>
  <c r="S144" i="9"/>
  <c r="S143" i="9"/>
  <c r="S142" i="9"/>
  <c r="S141" i="9"/>
  <c r="S138" i="9"/>
  <c r="S137" i="9"/>
  <c r="S136" i="9"/>
  <c r="S135" i="9"/>
  <c r="S134" i="9"/>
  <c r="S131" i="9"/>
  <c r="S130" i="9"/>
  <c r="S129" i="9"/>
  <c r="S128" i="9"/>
  <c r="S127" i="9"/>
  <c r="S125" i="9"/>
  <c r="S122" i="9"/>
  <c r="S121" i="9"/>
  <c r="S120" i="9"/>
  <c r="S119" i="9"/>
  <c r="S118" i="9"/>
  <c r="S117" i="9"/>
  <c r="S116" i="9"/>
  <c r="S115" i="9"/>
  <c r="S112" i="9"/>
  <c r="S111" i="9"/>
  <c r="S110" i="9"/>
  <c r="S109" i="9"/>
  <c r="S108" i="9"/>
  <c r="S107" i="9"/>
  <c r="S104" i="9"/>
  <c r="S103" i="9"/>
  <c r="S102" i="9"/>
  <c r="S101" i="9"/>
  <c r="S98" i="9"/>
  <c r="S97" i="9"/>
  <c r="S96" i="9"/>
  <c r="S95" i="9"/>
  <c r="S94" i="9"/>
  <c r="S93" i="9"/>
  <c r="S92" i="9"/>
  <c r="S89" i="9"/>
  <c r="S88" i="9"/>
  <c r="S87" i="9"/>
  <c r="S86" i="9"/>
  <c r="S85" i="9"/>
  <c r="S84" i="9"/>
  <c r="S83" i="9"/>
  <c r="S82" i="9"/>
  <c r="S81" i="9"/>
  <c r="S80" i="9"/>
  <c r="S79" i="9"/>
  <c r="S78" i="9"/>
  <c r="S77" i="9"/>
  <c r="S76" i="9"/>
  <c r="S75" i="9"/>
  <c r="S74" i="9"/>
  <c r="S73" i="9"/>
  <c r="S72" i="9"/>
  <c r="S71" i="9"/>
  <c r="S70" i="9"/>
  <c r="S67" i="9"/>
  <c r="S66" i="9"/>
  <c r="S65" i="9"/>
  <c r="S64" i="9"/>
  <c r="S63" i="9"/>
  <c r="S62" i="9"/>
  <c r="S61" i="9"/>
  <c r="S60" i="9"/>
  <c r="S59" i="9"/>
  <c r="S58" i="9"/>
  <c r="S57" i="9"/>
  <c r="S56" i="9"/>
  <c r="S55" i="9"/>
  <c r="S54" i="9"/>
  <c r="S53" i="9"/>
  <c r="S52" i="9"/>
  <c r="S51" i="9"/>
  <c r="S50" i="9"/>
  <c r="S49" i="9"/>
  <c r="S48" i="9"/>
  <c r="S47" i="9"/>
  <c r="S44" i="9"/>
  <c r="S43" i="9"/>
  <c r="S42" i="9"/>
  <c r="S41" i="9"/>
  <c r="S40" i="9"/>
  <c r="S39" i="9"/>
  <c r="S38" i="9"/>
  <c r="S37" i="9"/>
  <c r="S36" i="9"/>
  <c r="S35" i="9"/>
  <c r="S34" i="9"/>
  <c r="S33" i="9"/>
  <c r="S32" i="9"/>
  <c r="S31" i="9"/>
  <c r="S30" i="9"/>
  <c r="S29" i="9"/>
  <c r="S26" i="9"/>
  <c r="S25" i="9"/>
  <c r="S24" i="9"/>
  <c r="S23" i="9"/>
  <c r="S22" i="9"/>
  <c r="S21" i="9"/>
  <c r="S20" i="9"/>
  <c r="S19" i="9"/>
  <c r="S18" i="9"/>
  <c r="S17" i="9"/>
  <c r="S16" i="9"/>
  <c r="S15" i="9"/>
  <c r="S14" i="9"/>
  <c r="S13" i="9"/>
  <c r="S12" i="9"/>
  <c r="S11" i="9"/>
  <c r="S10" i="9"/>
  <c r="S9" i="9"/>
  <c r="S8" i="9"/>
  <c r="S7" i="9"/>
  <c r="S6" i="9"/>
  <c r="S146" i="9"/>
  <c r="S126" i="9"/>
  <c r="N156" i="9"/>
  <c r="N170" i="9" s="1"/>
  <c r="T3" i="9"/>
  <c r="S172" i="9"/>
  <c r="P169" i="9"/>
  <c r="R154" i="4"/>
  <c r="R155" i="4" s="1"/>
  <c r="N171" i="4" l="1"/>
  <c r="O170" i="4"/>
  <c r="Q168" i="9"/>
  <c r="R169" i="4" s="1"/>
  <c r="S89" i="4"/>
  <c r="R155" i="9"/>
  <c r="AZ16" i="4" a="1"/>
  <c r="AZ16" i="4" s="1"/>
  <c r="AY16" i="4" a="1"/>
  <c r="AY16" i="4" s="1"/>
  <c r="U168" i="4"/>
  <c r="BA15" i="4"/>
  <c r="R171" i="9"/>
  <c r="T254" i="4"/>
  <c r="S132" i="9"/>
  <c r="T131" i="4" s="1"/>
  <c r="S123" i="9"/>
  <c r="T122" i="4" s="1"/>
  <c r="S45" i="9"/>
  <c r="T44" i="4" s="1"/>
  <c r="S105" i="9"/>
  <c r="T104" i="4" s="1"/>
  <c r="S113" i="9"/>
  <c r="T112" i="4" s="1"/>
  <c r="S139" i="9"/>
  <c r="T138" i="4" s="1"/>
  <c r="S99" i="9"/>
  <c r="T98" i="4" s="1"/>
  <c r="S90" i="9"/>
  <c r="S68" i="9"/>
  <c r="T67" i="4" s="1"/>
  <c r="S27" i="9"/>
  <c r="T26" i="4" s="1"/>
  <c r="P157" i="4"/>
  <c r="P174" i="4" s="1"/>
  <c r="R173" i="4"/>
  <c r="T156" i="4"/>
  <c r="U160" i="4"/>
  <c r="U161" i="4"/>
  <c r="U162" i="4"/>
  <c r="U163" i="4"/>
  <c r="U164" i="4"/>
  <c r="U165" i="4"/>
  <c r="U166" i="4"/>
  <c r="U167" i="4"/>
  <c r="U152" i="4"/>
  <c r="U151" i="4"/>
  <c r="U150" i="4"/>
  <c r="U149" i="4"/>
  <c r="U148" i="4"/>
  <c r="U147" i="4"/>
  <c r="U146" i="4"/>
  <c r="U145" i="4"/>
  <c r="U144" i="4"/>
  <c r="U143" i="4"/>
  <c r="U142" i="4"/>
  <c r="U141" i="4"/>
  <c r="U140" i="4"/>
  <c r="U137" i="4"/>
  <c r="U136" i="4"/>
  <c r="U135" i="4"/>
  <c r="U134" i="4"/>
  <c r="U133" i="4"/>
  <c r="U130" i="4"/>
  <c r="U129" i="4"/>
  <c r="U128" i="4"/>
  <c r="U127" i="4"/>
  <c r="U126" i="4"/>
  <c r="U125" i="4"/>
  <c r="U124" i="4"/>
  <c r="U121" i="4"/>
  <c r="U120" i="4"/>
  <c r="U119" i="4"/>
  <c r="U118" i="4"/>
  <c r="U117" i="4"/>
  <c r="U116" i="4"/>
  <c r="U115" i="4"/>
  <c r="U114" i="4"/>
  <c r="U111" i="4"/>
  <c r="U110" i="4"/>
  <c r="U109" i="4"/>
  <c r="U108" i="4"/>
  <c r="U107" i="4"/>
  <c r="U106" i="4"/>
  <c r="U103" i="4"/>
  <c r="U102" i="4"/>
  <c r="U101" i="4"/>
  <c r="U100" i="4"/>
  <c r="U97" i="4"/>
  <c r="U96" i="4"/>
  <c r="U95" i="4"/>
  <c r="U94" i="4"/>
  <c r="U93" i="4"/>
  <c r="U92" i="4"/>
  <c r="U91" i="4"/>
  <c r="U88" i="4"/>
  <c r="U87" i="4"/>
  <c r="U86" i="4"/>
  <c r="U85" i="4"/>
  <c r="U84" i="4"/>
  <c r="U83" i="4"/>
  <c r="U82" i="4"/>
  <c r="U81" i="4"/>
  <c r="U80" i="4"/>
  <c r="U79" i="4"/>
  <c r="U78" i="4"/>
  <c r="U77" i="4"/>
  <c r="U76" i="4"/>
  <c r="U75" i="4"/>
  <c r="U74" i="4"/>
  <c r="U73" i="4"/>
  <c r="U72" i="4"/>
  <c r="U71" i="4"/>
  <c r="U70" i="4"/>
  <c r="U69" i="4"/>
  <c r="U66" i="4"/>
  <c r="U65" i="4"/>
  <c r="U64" i="4"/>
  <c r="U63" i="4"/>
  <c r="U62" i="4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U28" i="4"/>
  <c r="U2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5" i="4"/>
  <c r="S1" i="9"/>
  <c r="S2" i="9" s="1"/>
  <c r="T1" i="4"/>
  <c r="V2" i="4"/>
  <c r="U256" i="4"/>
  <c r="U255" i="4"/>
  <c r="T167" i="9"/>
  <c r="T166" i="9"/>
  <c r="T165" i="9"/>
  <c r="T164" i="9"/>
  <c r="T163" i="9"/>
  <c r="T162" i="9"/>
  <c r="T161" i="9"/>
  <c r="T160" i="9"/>
  <c r="T159" i="9"/>
  <c r="T153" i="9"/>
  <c r="T152" i="9"/>
  <c r="T151" i="9"/>
  <c r="T150" i="9"/>
  <c r="T149" i="9"/>
  <c r="T148" i="9"/>
  <c r="T147" i="9"/>
  <c r="T145" i="9"/>
  <c r="T144" i="9"/>
  <c r="T143" i="9"/>
  <c r="T142" i="9"/>
  <c r="T141" i="9"/>
  <c r="T138" i="9"/>
  <c r="T137" i="9"/>
  <c r="T136" i="9"/>
  <c r="T135" i="9"/>
  <c r="T134" i="9"/>
  <c r="T131" i="9"/>
  <c r="T130" i="9"/>
  <c r="T129" i="9"/>
  <c r="T128" i="9"/>
  <c r="T127" i="9"/>
  <c r="T125" i="9"/>
  <c r="T122" i="9"/>
  <c r="T121" i="9"/>
  <c r="T120" i="9"/>
  <c r="T119" i="9"/>
  <c r="T118" i="9"/>
  <c r="T117" i="9"/>
  <c r="T116" i="9"/>
  <c r="T115" i="9"/>
  <c r="T112" i="9"/>
  <c r="T111" i="9"/>
  <c r="T110" i="9"/>
  <c r="T109" i="9"/>
  <c r="T108" i="9"/>
  <c r="T107" i="9"/>
  <c r="T104" i="9"/>
  <c r="T103" i="9"/>
  <c r="T102" i="9"/>
  <c r="T101" i="9"/>
  <c r="T98" i="9"/>
  <c r="T97" i="9"/>
  <c r="T96" i="9"/>
  <c r="T95" i="9"/>
  <c r="T94" i="9"/>
  <c r="T93" i="9"/>
  <c r="T92" i="9"/>
  <c r="T89" i="9"/>
  <c r="T88" i="9"/>
  <c r="T87" i="9"/>
  <c r="T86" i="9"/>
  <c r="T85" i="9"/>
  <c r="T84" i="9"/>
  <c r="T83" i="9"/>
  <c r="T82" i="9"/>
  <c r="T81" i="9"/>
  <c r="T80" i="9"/>
  <c r="T79" i="9"/>
  <c r="T78" i="9"/>
  <c r="T77" i="9"/>
  <c r="T76" i="9"/>
  <c r="T75" i="9"/>
  <c r="T74" i="9"/>
  <c r="T73" i="9"/>
  <c r="T72" i="9"/>
  <c r="T71" i="9"/>
  <c r="T70" i="9"/>
  <c r="T67" i="9"/>
  <c r="T66" i="9"/>
  <c r="T65" i="9"/>
  <c r="T64" i="9"/>
  <c r="T63" i="9"/>
  <c r="T62" i="9"/>
  <c r="T61" i="9"/>
  <c r="T60" i="9"/>
  <c r="T59" i="9"/>
  <c r="T58" i="9"/>
  <c r="T57" i="9"/>
  <c r="T56" i="9"/>
  <c r="T55" i="9"/>
  <c r="T54" i="9"/>
  <c r="T53" i="9"/>
  <c r="T52" i="9"/>
  <c r="T51" i="9"/>
  <c r="T50" i="9"/>
  <c r="T49" i="9"/>
  <c r="T48" i="9"/>
  <c r="T47" i="9"/>
  <c r="T44" i="9"/>
  <c r="T43" i="9"/>
  <c r="T42" i="9"/>
  <c r="T41" i="9"/>
  <c r="T40" i="9"/>
  <c r="T39" i="9"/>
  <c r="T38" i="9"/>
  <c r="T37" i="9"/>
  <c r="T36" i="9"/>
  <c r="T35" i="9"/>
  <c r="T34" i="9"/>
  <c r="T33" i="9"/>
  <c r="T32" i="9"/>
  <c r="T31" i="9"/>
  <c r="T30" i="9"/>
  <c r="T29" i="9"/>
  <c r="T26" i="9"/>
  <c r="T25" i="9"/>
  <c r="T24" i="9"/>
  <c r="T23" i="9"/>
  <c r="T22" i="9"/>
  <c r="T21" i="9"/>
  <c r="T20" i="9"/>
  <c r="T19" i="9"/>
  <c r="T18" i="9"/>
  <c r="T17" i="9"/>
  <c r="T16" i="9"/>
  <c r="T15" i="9"/>
  <c r="T14" i="9"/>
  <c r="T13" i="9"/>
  <c r="T12" i="9"/>
  <c r="T11" i="9"/>
  <c r="T10" i="9"/>
  <c r="T9" i="9"/>
  <c r="T8" i="9"/>
  <c r="T7" i="9"/>
  <c r="T6" i="9"/>
  <c r="T146" i="9"/>
  <c r="T126" i="9"/>
  <c r="O156" i="9"/>
  <c r="O170" i="9" s="1"/>
  <c r="U3" i="9"/>
  <c r="T172" i="9"/>
  <c r="Q169" i="9"/>
  <c r="S154" i="4"/>
  <c r="S155" i="4" s="1"/>
  <c r="S154" i="9"/>
  <c r="T153" i="4" s="1"/>
  <c r="O171" i="4" l="1"/>
  <c r="P170" i="4"/>
  <c r="R168" i="9"/>
  <c r="S169" i="4" s="1"/>
  <c r="T89" i="4"/>
  <c r="S155" i="9"/>
  <c r="BB16" i="4" a="1"/>
  <c r="BB16" i="4" s="1"/>
  <c r="BA16" i="4" a="1"/>
  <c r="BA16" i="4" s="1"/>
  <c r="V168" i="4"/>
  <c r="BC15" i="4"/>
  <c r="S171" i="9"/>
  <c r="U254" i="4"/>
  <c r="T45" i="9"/>
  <c r="U44" i="4" s="1"/>
  <c r="T105" i="9"/>
  <c r="U104" i="4" s="1"/>
  <c r="T113" i="9"/>
  <c r="U112" i="4" s="1"/>
  <c r="T139" i="9"/>
  <c r="U138" i="4" s="1"/>
  <c r="T154" i="9"/>
  <c r="U153" i="4" s="1"/>
  <c r="T123" i="9"/>
  <c r="U122" i="4" s="1"/>
  <c r="T132" i="9"/>
  <c r="U131" i="4" s="1"/>
  <c r="T99" i="9"/>
  <c r="U98" i="4" s="1"/>
  <c r="T90" i="9"/>
  <c r="T68" i="9"/>
  <c r="U67" i="4" s="1"/>
  <c r="T27" i="9"/>
  <c r="U26" i="4" s="1"/>
  <c r="Q157" i="4"/>
  <c r="Q174" i="4" s="1"/>
  <c r="S173" i="4"/>
  <c r="U156" i="4"/>
  <c r="V160" i="4"/>
  <c r="V161" i="4"/>
  <c r="V162" i="4"/>
  <c r="V163" i="4"/>
  <c r="V164" i="4"/>
  <c r="V165" i="4"/>
  <c r="V166" i="4"/>
  <c r="V167" i="4"/>
  <c r="V152" i="4"/>
  <c r="V151" i="4"/>
  <c r="V150" i="4"/>
  <c r="V149" i="4"/>
  <c r="V148" i="4"/>
  <c r="V147" i="4"/>
  <c r="V146" i="4"/>
  <c r="V145" i="4"/>
  <c r="V144" i="4"/>
  <c r="V143" i="4"/>
  <c r="V142" i="4"/>
  <c r="V141" i="4"/>
  <c r="V140" i="4"/>
  <c r="V137" i="4"/>
  <c r="V136" i="4"/>
  <c r="V135" i="4"/>
  <c r="V134" i="4"/>
  <c r="V133" i="4"/>
  <c r="V130" i="4"/>
  <c r="V129" i="4"/>
  <c r="V128" i="4"/>
  <c r="V127" i="4"/>
  <c r="V126" i="4"/>
  <c r="V125" i="4"/>
  <c r="V124" i="4"/>
  <c r="V121" i="4"/>
  <c r="V120" i="4"/>
  <c r="V119" i="4"/>
  <c r="V118" i="4"/>
  <c r="V117" i="4"/>
  <c r="V116" i="4"/>
  <c r="V115" i="4"/>
  <c r="V114" i="4"/>
  <c r="V111" i="4"/>
  <c r="V110" i="4"/>
  <c r="V109" i="4"/>
  <c r="V108" i="4"/>
  <c r="V107" i="4"/>
  <c r="V106" i="4"/>
  <c r="V103" i="4"/>
  <c r="V102" i="4"/>
  <c r="V101" i="4"/>
  <c r="V100" i="4"/>
  <c r="V97" i="4"/>
  <c r="V96" i="4"/>
  <c r="V95" i="4"/>
  <c r="V94" i="4"/>
  <c r="V93" i="4"/>
  <c r="V92" i="4"/>
  <c r="V91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5" i="4"/>
  <c r="T1" i="9"/>
  <c r="T2" i="9" s="1"/>
  <c r="U1" i="4"/>
  <c r="W2" i="4"/>
  <c r="V256" i="4"/>
  <c r="V255" i="4"/>
  <c r="U167" i="9"/>
  <c r="U166" i="9"/>
  <c r="U165" i="9"/>
  <c r="U164" i="9"/>
  <c r="U163" i="9"/>
  <c r="U162" i="9"/>
  <c r="U161" i="9"/>
  <c r="U160" i="9"/>
  <c r="U159" i="9"/>
  <c r="U153" i="9"/>
  <c r="U152" i="9"/>
  <c r="U151" i="9"/>
  <c r="U150" i="9"/>
  <c r="U149" i="9"/>
  <c r="U148" i="9"/>
  <c r="U147" i="9"/>
  <c r="U145" i="9"/>
  <c r="U144" i="9"/>
  <c r="U143" i="9"/>
  <c r="U142" i="9"/>
  <c r="U141" i="9"/>
  <c r="U138" i="9"/>
  <c r="U137" i="9"/>
  <c r="U136" i="9"/>
  <c r="U135" i="9"/>
  <c r="U134" i="9"/>
  <c r="U131" i="9"/>
  <c r="U130" i="9"/>
  <c r="U129" i="9"/>
  <c r="U128" i="9"/>
  <c r="U127" i="9"/>
  <c r="U125" i="9"/>
  <c r="U122" i="9"/>
  <c r="U121" i="9"/>
  <c r="U120" i="9"/>
  <c r="U119" i="9"/>
  <c r="U118" i="9"/>
  <c r="U117" i="9"/>
  <c r="U116" i="9"/>
  <c r="U115" i="9"/>
  <c r="U112" i="9"/>
  <c r="U111" i="9"/>
  <c r="U110" i="9"/>
  <c r="U109" i="9"/>
  <c r="U108" i="9"/>
  <c r="U107" i="9"/>
  <c r="U104" i="9"/>
  <c r="U103" i="9"/>
  <c r="U102" i="9"/>
  <c r="U101" i="9"/>
  <c r="U98" i="9"/>
  <c r="U97" i="9"/>
  <c r="U96" i="9"/>
  <c r="U95" i="9"/>
  <c r="U94" i="9"/>
  <c r="U93" i="9"/>
  <c r="U92" i="9"/>
  <c r="U89" i="9"/>
  <c r="U88" i="9"/>
  <c r="U87" i="9"/>
  <c r="U86" i="9"/>
  <c r="U85" i="9"/>
  <c r="U84" i="9"/>
  <c r="U83" i="9"/>
  <c r="U82" i="9"/>
  <c r="U81" i="9"/>
  <c r="U80" i="9"/>
  <c r="U79" i="9"/>
  <c r="U78" i="9"/>
  <c r="U77" i="9"/>
  <c r="U76" i="9"/>
  <c r="U75" i="9"/>
  <c r="U74" i="9"/>
  <c r="U73" i="9"/>
  <c r="U72" i="9"/>
  <c r="U71" i="9"/>
  <c r="U70" i="9"/>
  <c r="U67" i="9"/>
  <c r="U66" i="9"/>
  <c r="U65" i="9"/>
  <c r="U64" i="9"/>
  <c r="U63" i="9"/>
  <c r="U62" i="9"/>
  <c r="U61" i="9"/>
  <c r="U60" i="9"/>
  <c r="U59" i="9"/>
  <c r="U58" i="9"/>
  <c r="U57" i="9"/>
  <c r="U56" i="9"/>
  <c r="U55" i="9"/>
  <c r="U54" i="9"/>
  <c r="U53" i="9"/>
  <c r="U52" i="9"/>
  <c r="U51" i="9"/>
  <c r="U50" i="9"/>
  <c r="U49" i="9"/>
  <c r="U48" i="9"/>
  <c r="U47" i="9"/>
  <c r="U44" i="9"/>
  <c r="U43" i="9"/>
  <c r="U42" i="9"/>
  <c r="U41" i="9"/>
  <c r="U40" i="9"/>
  <c r="U39" i="9"/>
  <c r="U38" i="9"/>
  <c r="U37" i="9"/>
  <c r="U36" i="9"/>
  <c r="U35" i="9"/>
  <c r="U34" i="9"/>
  <c r="U33" i="9"/>
  <c r="U32" i="9"/>
  <c r="U31" i="9"/>
  <c r="U30" i="9"/>
  <c r="U29" i="9"/>
  <c r="U26" i="9"/>
  <c r="U25" i="9"/>
  <c r="U24" i="9"/>
  <c r="U23" i="9"/>
  <c r="U22" i="9"/>
  <c r="U21" i="9"/>
  <c r="U20" i="9"/>
  <c r="U19" i="9"/>
  <c r="U18" i="9"/>
  <c r="U17" i="9"/>
  <c r="U16" i="9"/>
  <c r="U15" i="9"/>
  <c r="U14" i="9"/>
  <c r="U13" i="9"/>
  <c r="U12" i="9"/>
  <c r="U11" i="9"/>
  <c r="U10" i="9"/>
  <c r="U9" i="9"/>
  <c r="U8" i="9"/>
  <c r="U7" i="9"/>
  <c r="U6" i="9"/>
  <c r="U146" i="9"/>
  <c r="U126" i="9"/>
  <c r="P156" i="9"/>
  <c r="P170" i="9" s="1"/>
  <c r="V3" i="9"/>
  <c r="U172" i="9"/>
  <c r="R169" i="9"/>
  <c r="T154" i="4"/>
  <c r="T155" i="4" s="1"/>
  <c r="P171" i="4" l="1"/>
  <c r="Q170" i="4"/>
  <c r="S168" i="9"/>
  <c r="T169" i="4" s="1"/>
  <c r="U89" i="4"/>
  <c r="T155" i="9"/>
  <c r="BD16" i="4" a="1"/>
  <c r="BD16" i="4" s="1"/>
  <c r="BC16" i="4" a="1"/>
  <c r="BC16" i="4" s="1"/>
  <c r="W168" i="4"/>
  <c r="AQ26" i="4"/>
  <c r="T171" i="9"/>
  <c r="V254" i="4"/>
  <c r="U99" i="9"/>
  <c r="V98" i="4" s="1"/>
  <c r="U123" i="9"/>
  <c r="V122" i="4" s="1"/>
  <c r="U45" i="9"/>
  <c r="V44" i="4" s="1"/>
  <c r="U105" i="9"/>
  <c r="V104" i="4" s="1"/>
  <c r="U113" i="9"/>
  <c r="V112" i="4" s="1"/>
  <c r="U139" i="9"/>
  <c r="V138" i="4" s="1"/>
  <c r="U132" i="9"/>
  <c r="V131" i="4" s="1"/>
  <c r="U90" i="9"/>
  <c r="U68" i="9"/>
  <c r="U27" i="9"/>
  <c r="V26" i="4" s="1"/>
  <c r="R157" i="4"/>
  <c r="R174" i="4" s="1"/>
  <c r="T173" i="4"/>
  <c r="V156" i="4"/>
  <c r="W160" i="4"/>
  <c r="W161" i="4"/>
  <c r="W162" i="4"/>
  <c r="W163" i="4"/>
  <c r="W164" i="4"/>
  <c r="W165" i="4"/>
  <c r="W166" i="4"/>
  <c r="W167" i="4"/>
  <c r="W152" i="4"/>
  <c r="W151" i="4"/>
  <c r="W150" i="4"/>
  <c r="W149" i="4"/>
  <c r="W148" i="4"/>
  <c r="W147" i="4"/>
  <c r="W146" i="4"/>
  <c r="W145" i="4"/>
  <c r="W144" i="4"/>
  <c r="W143" i="4"/>
  <c r="W142" i="4"/>
  <c r="W141" i="4"/>
  <c r="W140" i="4"/>
  <c r="W137" i="4"/>
  <c r="W136" i="4"/>
  <c r="W135" i="4"/>
  <c r="W134" i="4"/>
  <c r="W133" i="4"/>
  <c r="W130" i="4"/>
  <c r="W129" i="4"/>
  <c r="W128" i="4"/>
  <c r="W127" i="4"/>
  <c r="W126" i="4"/>
  <c r="W125" i="4"/>
  <c r="W124" i="4"/>
  <c r="W121" i="4"/>
  <c r="W120" i="4"/>
  <c r="W119" i="4"/>
  <c r="W118" i="4"/>
  <c r="W117" i="4"/>
  <c r="W116" i="4"/>
  <c r="W115" i="4"/>
  <c r="W114" i="4"/>
  <c r="W111" i="4"/>
  <c r="W110" i="4"/>
  <c r="W109" i="4"/>
  <c r="W108" i="4"/>
  <c r="W107" i="4"/>
  <c r="W106" i="4"/>
  <c r="W103" i="4"/>
  <c r="W102" i="4"/>
  <c r="W101" i="4"/>
  <c r="W100" i="4"/>
  <c r="W97" i="4"/>
  <c r="W96" i="4"/>
  <c r="W95" i="4"/>
  <c r="W94" i="4"/>
  <c r="W93" i="4"/>
  <c r="W92" i="4"/>
  <c r="W91" i="4"/>
  <c r="W88" i="4"/>
  <c r="W87" i="4"/>
  <c r="W86" i="4"/>
  <c r="W85" i="4"/>
  <c r="W84" i="4"/>
  <c r="W83" i="4"/>
  <c r="W82" i="4"/>
  <c r="W81" i="4"/>
  <c r="W80" i="4"/>
  <c r="W79" i="4"/>
  <c r="W78" i="4"/>
  <c r="W77" i="4"/>
  <c r="W76" i="4"/>
  <c r="W75" i="4"/>
  <c r="W74" i="4"/>
  <c r="W73" i="4"/>
  <c r="W72" i="4"/>
  <c r="W71" i="4"/>
  <c r="W70" i="4"/>
  <c r="W69" i="4"/>
  <c r="W66" i="4"/>
  <c r="W65" i="4"/>
  <c r="W64" i="4"/>
  <c r="W63" i="4"/>
  <c r="W62" i="4"/>
  <c r="W61" i="4"/>
  <c r="W60" i="4"/>
  <c r="W59" i="4"/>
  <c r="W58" i="4"/>
  <c r="W57" i="4"/>
  <c r="W56" i="4"/>
  <c r="W55" i="4"/>
  <c r="W54" i="4"/>
  <c r="W53" i="4"/>
  <c r="W52" i="4"/>
  <c r="W51" i="4"/>
  <c r="W50" i="4"/>
  <c r="W49" i="4"/>
  <c r="W48" i="4"/>
  <c r="W47" i="4"/>
  <c r="W46" i="4"/>
  <c r="W43" i="4"/>
  <c r="W42" i="4"/>
  <c r="W41" i="4"/>
  <c r="W40" i="4"/>
  <c r="W39" i="4"/>
  <c r="W38" i="4"/>
  <c r="W37" i="4"/>
  <c r="W36" i="4"/>
  <c r="W35" i="4"/>
  <c r="W34" i="4"/>
  <c r="W33" i="4"/>
  <c r="W32" i="4"/>
  <c r="W31" i="4"/>
  <c r="W30" i="4"/>
  <c r="W29" i="4"/>
  <c r="W28" i="4"/>
  <c r="W2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5" i="4"/>
  <c r="U1" i="9"/>
  <c r="U2" i="9" s="1"/>
  <c r="V1" i="4"/>
  <c r="X2" i="4"/>
  <c r="W256" i="4"/>
  <c r="W255" i="4"/>
  <c r="V167" i="9"/>
  <c r="V166" i="9"/>
  <c r="V165" i="9"/>
  <c r="V164" i="9"/>
  <c r="V163" i="9"/>
  <c r="V162" i="9"/>
  <c r="V161" i="9"/>
  <c r="V160" i="9"/>
  <c r="V159" i="9"/>
  <c r="V153" i="9"/>
  <c r="V152" i="9"/>
  <c r="V151" i="9"/>
  <c r="V150" i="9"/>
  <c r="V149" i="9"/>
  <c r="V148" i="9"/>
  <c r="V147" i="9"/>
  <c r="V145" i="9"/>
  <c r="V144" i="9"/>
  <c r="V143" i="9"/>
  <c r="V142" i="9"/>
  <c r="V141" i="9"/>
  <c r="V138" i="9"/>
  <c r="V137" i="9"/>
  <c r="V136" i="9"/>
  <c r="V135" i="9"/>
  <c r="V134" i="9"/>
  <c r="V131" i="9"/>
  <c r="V130" i="9"/>
  <c r="V129" i="9"/>
  <c r="V128" i="9"/>
  <c r="V127" i="9"/>
  <c r="V125" i="9"/>
  <c r="V122" i="9"/>
  <c r="V121" i="9"/>
  <c r="V120" i="9"/>
  <c r="V119" i="9"/>
  <c r="V118" i="9"/>
  <c r="V117" i="9"/>
  <c r="V116" i="9"/>
  <c r="V115" i="9"/>
  <c r="V112" i="9"/>
  <c r="V111" i="9"/>
  <c r="V110" i="9"/>
  <c r="V109" i="9"/>
  <c r="V108" i="9"/>
  <c r="V107" i="9"/>
  <c r="V104" i="9"/>
  <c r="V103" i="9"/>
  <c r="V102" i="9"/>
  <c r="V101" i="9"/>
  <c r="V98" i="9"/>
  <c r="V97" i="9"/>
  <c r="V96" i="9"/>
  <c r="V95" i="9"/>
  <c r="V94" i="9"/>
  <c r="V93" i="9"/>
  <c r="V92" i="9"/>
  <c r="V89" i="9"/>
  <c r="V88" i="9"/>
  <c r="V87" i="9"/>
  <c r="V86" i="9"/>
  <c r="V85" i="9"/>
  <c r="V84" i="9"/>
  <c r="V83" i="9"/>
  <c r="V82" i="9"/>
  <c r="V81" i="9"/>
  <c r="V80" i="9"/>
  <c r="V79" i="9"/>
  <c r="V78" i="9"/>
  <c r="V77" i="9"/>
  <c r="V76" i="9"/>
  <c r="V75" i="9"/>
  <c r="V74" i="9"/>
  <c r="V73" i="9"/>
  <c r="V72" i="9"/>
  <c r="V71" i="9"/>
  <c r="V70" i="9"/>
  <c r="V67" i="9"/>
  <c r="V66" i="9"/>
  <c r="V65" i="9"/>
  <c r="V64" i="9"/>
  <c r="V63" i="9"/>
  <c r="V62" i="9"/>
  <c r="V61" i="9"/>
  <c r="V60" i="9"/>
  <c r="V59" i="9"/>
  <c r="V58" i="9"/>
  <c r="V57" i="9"/>
  <c r="V56" i="9"/>
  <c r="V55" i="9"/>
  <c r="V54" i="9"/>
  <c r="V53" i="9"/>
  <c r="V52" i="9"/>
  <c r="V51" i="9"/>
  <c r="V50" i="9"/>
  <c r="V49" i="9"/>
  <c r="V48" i="9"/>
  <c r="V47" i="9"/>
  <c r="V44" i="9"/>
  <c r="V43" i="9"/>
  <c r="V42" i="9"/>
  <c r="V41" i="9"/>
  <c r="V40" i="9"/>
  <c r="V39" i="9"/>
  <c r="V38" i="9"/>
  <c r="V37" i="9"/>
  <c r="V36" i="9"/>
  <c r="V35" i="9"/>
  <c r="V34" i="9"/>
  <c r="V33" i="9"/>
  <c r="V32" i="9"/>
  <c r="V31" i="9"/>
  <c r="V30" i="9"/>
  <c r="V29" i="9"/>
  <c r="V26" i="9"/>
  <c r="V25" i="9"/>
  <c r="V24" i="9"/>
  <c r="V23" i="9"/>
  <c r="V22" i="9"/>
  <c r="V21" i="9"/>
  <c r="V20" i="9"/>
  <c r="V19" i="9"/>
  <c r="V18" i="9"/>
  <c r="V17" i="9"/>
  <c r="V16" i="9"/>
  <c r="V15" i="9"/>
  <c r="V14" i="9"/>
  <c r="V13" i="9"/>
  <c r="V12" i="9"/>
  <c r="V11" i="9"/>
  <c r="V10" i="9"/>
  <c r="V9" i="9"/>
  <c r="V8" i="9"/>
  <c r="V7" i="9"/>
  <c r="V6" i="9"/>
  <c r="V146" i="9"/>
  <c r="V126" i="9"/>
  <c r="Q156" i="9"/>
  <c r="Q170" i="9" s="1"/>
  <c r="W3" i="9"/>
  <c r="V172" i="9"/>
  <c r="S169" i="9"/>
  <c r="U154" i="4"/>
  <c r="U155" i="4" s="1"/>
  <c r="V67" i="4"/>
  <c r="U154" i="9"/>
  <c r="V153" i="4" s="1"/>
  <c r="Q171" i="4" l="1"/>
  <c r="R170" i="4"/>
  <c r="T168" i="9"/>
  <c r="U169" i="4" s="1"/>
  <c r="V89" i="4"/>
  <c r="U155" i="9"/>
  <c r="AR27" i="4" a="1"/>
  <c r="AR27" i="4" s="1"/>
  <c r="AQ27" i="4" a="1"/>
  <c r="AQ27" i="4" s="1"/>
  <c r="X168" i="4"/>
  <c r="AS26" i="4"/>
  <c r="U171" i="9"/>
  <c r="W254" i="4"/>
  <c r="V113" i="9"/>
  <c r="W112" i="4" s="1"/>
  <c r="V139" i="9"/>
  <c r="W138" i="4" s="1"/>
  <c r="V132" i="9"/>
  <c r="W131" i="4" s="1"/>
  <c r="V154" i="9"/>
  <c r="W153" i="4" s="1"/>
  <c r="V45" i="9"/>
  <c r="W44" i="4" s="1"/>
  <c r="V105" i="9"/>
  <c r="W104" i="4" s="1"/>
  <c r="V123" i="9"/>
  <c r="W122" i="4" s="1"/>
  <c r="V99" i="9"/>
  <c r="W98" i="4" s="1"/>
  <c r="V90" i="9"/>
  <c r="V68" i="9"/>
  <c r="W67" i="4" s="1"/>
  <c r="V27" i="9"/>
  <c r="W26" i="4" s="1"/>
  <c r="S157" i="4"/>
  <c r="S174" i="4" s="1"/>
  <c r="U173" i="4"/>
  <c r="W156" i="4"/>
  <c r="X160" i="4"/>
  <c r="X161" i="4"/>
  <c r="X162" i="4"/>
  <c r="X163" i="4"/>
  <c r="X164" i="4"/>
  <c r="X165" i="4"/>
  <c r="X166" i="4"/>
  <c r="X167" i="4"/>
  <c r="X152" i="4"/>
  <c r="X151" i="4"/>
  <c r="X150" i="4"/>
  <c r="X149" i="4"/>
  <c r="X148" i="4"/>
  <c r="X147" i="4"/>
  <c r="X146" i="4"/>
  <c r="X145" i="4"/>
  <c r="X144" i="4"/>
  <c r="X143" i="4"/>
  <c r="X142" i="4"/>
  <c r="X141" i="4"/>
  <c r="X140" i="4"/>
  <c r="X137" i="4"/>
  <c r="X136" i="4"/>
  <c r="X135" i="4"/>
  <c r="X134" i="4"/>
  <c r="X133" i="4"/>
  <c r="X130" i="4"/>
  <c r="X129" i="4"/>
  <c r="X128" i="4"/>
  <c r="X127" i="4"/>
  <c r="X126" i="4"/>
  <c r="X125" i="4"/>
  <c r="X124" i="4"/>
  <c r="X121" i="4"/>
  <c r="X120" i="4"/>
  <c r="X119" i="4"/>
  <c r="X118" i="4"/>
  <c r="X117" i="4"/>
  <c r="X116" i="4"/>
  <c r="X115" i="4"/>
  <c r="X114" i="4"/>
  <c r="X111" i="4"/>
  <c r="X110" i="4"/>
  <c r="X109" i="4"/>
  <c r="X108" i="4"/>
  <c r="X107" i="4"/>
  <c r="X106" i="4"/>
  <c r="X103" i="4"/>
  <c r="X102" i="4"/>
  <c r="X101" i="4"/>
  <c r="X100" i="4"/>
  <c r="X97" i="4"/>
  <c r="X96" i="4"/>
  <c r="X95" i="4"/>
  <c r="X94" i="4"/>
  <c r="X93" i="4"/>
  <c r="X92" i="4"/>
  <c r="X91" i="4"/>
  <c r="X88" i="4"/>
  <c r="X87" i="4"/>
  <c r="X86" i="4"/>
  <c r="X85" i="4"/>
  <c r="X84" i="4"/>
  <c r="X83" i="4"/>
  <c r="X82" i="4"/>
  <c r="X81" i="4"/>
  <c r="X80" i="4"/>
  <c r="X79" i="4"/>
  <c r="X78" i="4"/>
  <c r="X77" i="4"/>
  <c r="X76" i="4"/>
  <c r="X75" i="4"/>
  <c r="X74" i="4"/>
  <c r="X73" i="4"/>
  <c r="X72" i="4"/>
  <c r="X71" i="4"/>
  <c r="X70" i="4"/>
  <c r="X69" i="4"/>
  <c r="X66" i="4"/>
  <c r="X65" i="4"/>
  <c r="X64" i="4"/>
  <c r="X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46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X28" i="4"/>
  <c r="X2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5" i="4"/>
  <c r="V1" i="9"/>
  <c r="V2" i="9" s="1"/>
  <c r="W1" i="4"/>
  <c r="Y2" i="4"/>
  <c r="X256" i="4"/>
  <c r="X254" i="4" s="1"/>
  <c r="W171" i="9" s="1"/>
  <c r="X255" i="4"/>
  <c r="W167" i="9"/>
  <c r="W166" i="9"/>
  <c r="W165" i="9"/>
  <c r="W164" i="9"/>
  <c r="W163" i="9"/>
  <c r="W162" i="9"/>
  <c r="W161" i="9"/>
  <c r="W160" i="9"/>
  <c r="W159" i="9"/>
  <c r="W153" i="9"/>
  <c r="W152" i="9"/>
  <c r="W151" i="9"/>
  <c r="W150" i="9"/>
  <c r="W149" i="9"/>
  <c r="W148" i="9"/>
  <c r="W147" i="9"/>
  <c r="W145" i="9"/>
  <c r="W144" i="9"/>
  <c r="W143" i="9"/>
  <c r="W142" i="9"/>
  <c r="W141" i="9"/>
  <c r="W138" i="9"/>
  <c r="W137" i="9"/>
  <c r="W136" i="9"/>
  <c r="W135" i="9"/>
  <c r="W134" i="9"/>
  <c r="W131" i="9"/>
  <c r="W130" i="9"/>
  <c r="W129" i="9"/>
  <c r="W128" i="9"/>
  <c r="W127" i="9"/>
  <c r="W125" i="9"/>
  <c r="W122" i="9"/>
  <c r="W121" i="9"/>
  <c r="W120" i="9"/>
  <c r="W119" i="9"/>
  <c r="W118" i="9"/>
  <c r="W117" i="9"/>
  <c r="W116" i="9"/>
  <c r="W115" i="9"/>
  <c r="W112" i="9"/>
  <c r="W111" i="9"/>
  <c r="W110" i="9"/>
  <c r="W109" i="9"/>
  <c r="W108" i="9"/>
  <c r="W107" i="9"/>
  <c r="W104" i="9"/>
  <c r="W103" i="9"/>
  <c r="W102" i="9"/>
  <c r="W101" i="9"/>
  <c r="W98" i="9"/>
  <c r="W97" i="9"/>
  <c r="W96" i="9"/>
  <c r="W95" i="9"/>
  <c r="W94" i="9"/>
  <c r="W93" i="9"/>
  <c r="W92" i="9"/>
  <c r="W89" i="9"/>
  <c r="W88" i="9"/>
  <c r="W87" i="9"/>
  <c r="W86" i="9"/>
  <c r="W85" i="9"/>
  <c r="W84" i="9"/>
  <c r="W83" i="9"/>
  <c r="W82" i="9"/>
  <c r="W81" i="9"/>
  <c r="W80" i="9"/>
  <c r="W79" i="9"/>
  <c r="W78" i="9"/>
  <c r="W77" i="9"/>
  <c r="W76" i="9"/>
  <c r="W75" i="9"/>
  <c r="W74" i="9"/>
  <c r="W73" i="9"/>
  <c r="W72" i="9"/>
  <c r="W71" i="9"/>
  <c r="W70" i="9"/>
  <c r="W67" i="9"/>
  <c r="W66" i="9"/>
  <c r="W65" i="9"/>
  <c r="W64" i="9"/>
  <c r="W63" i="9"/>
  <c r="W62" i="9"/>
  <c r="W61" i="9"/>
  <c r="W60" i="9"/>
  <c r="W59" i="9"/>
  <c r="W58" i="9"/>
  <c r="W57" i="9"/>
  <c r="W56" i="9"/>
  <c r="W55" i="9"/>
  <c r="W54" i="9"/>
  <c r="W53" i="9"/>
  <c r="W52" i="9"/>
  <c r="W51" i="9"/>
  <c r="W50" i="9"/>
  <c r="W49" i="9"/>
  <c r="W48" i="9"/>
  <c r="W47" i="9"/>
  <c r="W44" i="9"/>
  <c r="W43" i="9"/>
  <c r="W42" i="9"/>
  <c r="W41" i="9"/>
  <c r="W40" i="9"/>
  <c r="W39" i="9"/>
  <c r="W38" i="9"/>
  <c r="W37" i="9"/>
  <c r="W36" i="9"/>
  <c r="W35" i="9"/>
  <c r="W34" i="9"/>
  <c r="W33" i="9"/>
  <c r="W32" i="9"/>
  <c r="W31" i="9"/>
  <c r="W30" i="9"/>
  <c r="W29" i="9"/>
  <c r="W26" i="9"/>
  <c r="W25" i="9"/>
  <c r="W24" i="9"/>
  <c r="W23" i="9"/>
  <c r="W22" i="9"/>
  <c r="W21" i="9"/>
  <c r="W20" i="9"/>
  <c r="W19" i="9"/>
  <c r="W18" i="9"/>
  <c r="W17" i="9"/>
  <c r="W16" i="9"/>
  <c r="W15" i="9"/>
  <c r="W14" i="9"/>
  <c r="W13" i="9"/>
  <c r="W12" i="9"/>
  <c r="W11" i="9"/>
  <c r="W10" i="9"/>
  <c r="W9" i="9"/>
  <c r="W8" i="9"/>
  <c r="W7" i="9"/>
  <c r="W6" i="9"/>
  <c r="W146" i="9"/>
  <c r="W126" i="9"/>
  <c r="R156" i="9"/>
  <c r="R170" i="9" s="1"/>
  <c r="X3" i="9"/>
  <c r="W172" i="9"/>
  <c r="T169" i="9"/>
  <c r="V154" i="4"/>
  <c r="V155" i="4" s="1"/>
  <c r="R171" i="4" l="1"/>
  <c r="S170" i="4"/>
  <c r="W89" i="4"/>
  <c r="V155" i="9"/>
  <c r="AT27" i="4" a="1"/>
  <c r="AT27" i="4" s="1"/>
  <c r="AS27" i="4" a="1"/>
  <c r="AS27" i="4" s="1"/>
  <c r="Y168" i="4"/>
  <c r="AU26" i="4"/>
  <c r="V171" i="9"/>
  <c r="W105" i="9"/>
  <c r="X104" i="4" s="1"/>
  <c r="W113" i="9"/>
  <c r="X112" i="4" s="1"/>
  <c r="W139" i="9"/>
  <c r="X138" i="4" s="1"/>
  <c r="W45" i="9"/>
  <c r="X44" i="4" s="1"/>
  <c r="W99" i="9"/>
  <c r="X98" i="4" s="1"/>
  <c r="W132" i="9"/>
  <c r="X131" i="4" s="1"/>
  <c r="W123" i="9"/>
  <c r="X122" i="4" s="1"/>
  <c r="W90" i="9"/>
  <c r="W68" i="9"/>
  <c r="X67" i="4" s="1"/>
  <c r="W27" i="9"/>
  <c r="T157" i="4"/>
  <c r="T174" i="4" s="1"/>
  <c r="V173" i="4"/>
  <c r="X156" i="4"/>
  <c r="Y160" i="4"/>
  <c r="Y161" i="4"/>
  <c r="Y162" i="4"/>
  <c r="Y163" i="4"/>
  <c r="Y164" i="4"/>
  <c r="Y165" i="4"/>
  <c r="Y166" i="4"/>
  <c r="Y167" i="4"/>
  <c r="Y152" i="4"/>
  <c r="Y151" i="4"/>
  <c r="Y150" i="4"/>
  <c r="Y149" i="4"/>
  <c r="Y148" i="4"/>
  <c r="Y147" i="4"/>
  <c r="Y146" i="4"/>
  <c r="Y145" i="4"/>
  <c r="Y144" i="4"/>
  <c r="Y143" i="4"/>
  <c r="Y142" i="4"/>
  <c r="Y141" i="4"/>
  <c r="Y140" i="4"/>
  <c r="Y137" i="4"/>
  <c r="Y136" i="4"/>
  <c r="Y135" i="4"/>
  <c r="Y134" i="4"/>
  <c r="Y133" i="4"/>
  <c r="Y130" i="4"/>
  <c r="Y129" i="4"/>
  <c r="Y128" i="4"/>
  <c r="Y127" i="4"/>
  <c r="Y126" i="4"/>
  <c r="Y125" i="4"/>
  <c r="Y124" i="4"/>
  <c r="Y121" i="4"/>
  <c r="Y120" i="4"/>
  <c r="Y119" i="4"/>
  <c r="Y118" i="4"/>
  <c r="Y117" i="4"/>
  <c r="Y116" i="4"/>
  <c r="Y115" i="4"/>
  <c r="Y114" i="4"/>
  <c r="Y111" i="4"/>
  <c r="Y110" i="4"/>
  <c r="Y109" i="4"/>
  <c r="Y108" i="4"/>
  <c r="Y107" i="4"/>
  <c r="Y106" i="4"/>
  <c r="Y103" i="4"/>
  <c r="Y102" i="4"/>
  <c r="Y101" i="4"/>
  <c r="Y100" i="4"/>
  <c r="Y97" i="4"/>
  <c r="Y96" i="4"/>
  <c r="Y95" i="4"/>
  <c r="Y94" i="4"/>
  <c r="Y93" i="4"/>
  <c r="Y92" i="4"/>
  <c r="Y91" i="4"/>
  <c r="Y88" i="4"/>
  <c r="Y87" i="4"/>
  <c r="Y86" i="4"/>
  <c r="Y85" i="4"/>
  <c r="Y84" i="4"/>
  <c r="Y83" i="4"/>
  <c r="Y82" i="4"/>
  <c r="Y81" i="4"/>
  <c r="Y80" i="4"/>
  <c r="Y79" i="4"/>
  <c r="Y78" i="4"/>
  <c r="Y77" i="4"/>
  <c r="Y76" i="4"/>
  <c r="Y75" i="4"/>
  <c r="Y74" i="4"/>
  <c r="Y73" i="4"/>
  <c r="Y72" i="4"/>
  <c r="Y71" i="4"/>
  <c r="Y70" i="4"/>
  <c r="Y69" i="4"/>
  <c r="Y66" i="4"/>
  <c r="Y65" i="4"/>
  <c r="Y64" i="4"/>
  <c r="Y63" i="4"/>
  <c r="Y62" i="4"/>
  <c r="Y61" i="4"/>
  <c r="Y60" i="4"/>
  <c r="Y59" i="4"/>
  <c r="Y58" i="4"/>
  <c r="Y57" i="4"/>
  <c r="Y56" i="4"/>
  <c r="Y55" i="4"/>
  <c r="Y54" i="4"/>
  <c r="Y53" i="4"/>
  <c r="Y52" i="4"/>
  <c r="Y51" i="4"/>
  <c r="Y50" i="4"/>
  <c r="Y49" i="4"/>
  <c r="Y48" i="4"/>
  <c r="Y47" i="4"/>
  <c r="Y46" i="4"/>
  <c r="Y43" i="4"/>
  <c r="Y42" i="4"/>
  <c r="Y41" i="4"/>
  <c r="Y40" i="4"/>
  <c r="Y39" i="4"/>
  <c r="Y38" i="4"/>
  <c r="Y37" i="4"/>
  <c r="Y36" i="4"/>
  <c r="Y35" i="4"/>
  <c r="Y34" i="4"/>
  <c r="Y33" i="4"/>
  <c r="Y32" i="4"/>
  <c r="Y31" i="4"/>
  <c r="Y30" i="4"/>
  <c r="Y29" i="4"/>
  <c r="Y28" i="4"/>
  <c r="Y2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5" i="4"/>
  <c r="W1" i="9"/>
  <c r="X1" i="4"/>
  <c r="Z2" i="4"/>
  <c r="Y256" i="4"/>
  <c r="Y255" i="4"/>
  <c r="X167" i="9"/>
  <c r="X166" i="9"/>
  <c r="X165" i="9"/>
  <c r="X164" i="9"/>
  <c r="X163" i="9"/>
  <c r="X162" i="9"/>
  <c r="X161" i="9"/>
  <c r="X160" i="9"/>
  <c r="X159" i="9"/>
  <c r="X153" i="9"/>
  <c r="X152" i="9"/>
  <c r="X151" i="9"/>
  <c r="X150" i="9"/>
  <c r="X149" i="9"/>
  <c r="X148" i="9"/>
  <c r="X147" i="9"/>
  <c r="X145" i="9"/>
  <c r="X144" i="9"/>
  <c r="X143" i="9"/>
  <c r="X142" i="9"/>
  <c r="X141" i="9"/>
  <c r="X138" i="9"/>
  <c r="X137" i="9"/>
  <c r="X136" i="9"/>
  <c r="X135" i="9"/>
  <c r="X134" i="9"/>
  <c r="X131" i="9"/>
  <c r="X130" i="9"/>
  <c r="X129" i="9"/>
  <c r="X128" i="9"/>
  <c r="X127" i="9"/>
  <c r="X125" i="9"/>
  <c r="X122" i="9"/>
  <c r="X121" i="9"/>
  <c r="X120" i="9"/>
  <c r="X119" i="9"/>
  <c r="X118" i="9"/>
  <c r="X117" i="9"/>
  <c r="X116" i="9"/>
  <c r="X115" i="9"/>
  <c r="X112" i="9"/>
  <c r="X111" i="9"/>
  <c r="X110" i="9"/>
  <c r="X109" i="9"/>
  <c r="X108" i="9"/>
  <c r="X107" i="9"/>
  <c r="X104" i="9"/>
  <c r="X103" i="9"/>
  <c r="X102" i="9"/>
  <c r="X101" i="9"/>
  <c r="X98" i="9"/>
  <c r="X97" i="9"/>
  <c r="X96" i="9"/>
  <c r="X95" i="9"/>
  <c r="X94" i="9"/>
  <c r="X93" i="9"/>
  <c r="X92" i="9"/>
  <c r="X89" i="9"/>
  <c r="X88" i="9"/>
  <c r="X87" i="9"/>
  <c r="X86" i="9"/>
  <c r="X85" i="9"/>
  <c r="X84" i="9"/>
  <c r="X83" i="9"/>
  <c r="X82" i="9"/>
  <c r="X81" i="9"/>
  <c r="X80" i="9"/>
  <c r="X79" i="9"/>
  <c r="X78" i="9"/>
  <c r="X77" i="9"/>
  <c r="X76" i="9"/>
  <c r="X75" i="9"/>
  <c r="X74" i="9"/>
  <c r="X73" i="9"/>
  <c r="X72" i="9"/>
  <c r="X71" i="9"/>
  <c r="X70" i="9"/>
  <c r="X67" i="9"/>
  <c r="X66" i="9"/>
  <c r="X65" i="9"/>
  <c r="X64" i="9"/>
  <c r="X63" i="9"/>
  <c r="X62" i="9"/>
  <c r="X61" i="9"/>
  <c r="X60" i="9"/>
  <c r="X59" i="9"/>
  <c r="X58" i="9"/>
  <c r="X57" i="9"/>
  <c r="X56" i="9"/>
  <c r="X55" i="9"/>
  <c r="X54" i="9"/>
  <c r="X53" i="9"/>
  <c r="X52" i="9"/>
  <c r="X51" i="9"/>
  <c r="X50" i="9"/>
  <c r="X49" i="9"/>
  <c r="X48" i="9"/>
  <c r="X47" i="9"/>
  <c r="X44" i="9"/>
  <c r="X43" i="9"/>
  <c r="X42" i="9"/>
  <c r="X41" i="9"/>
  <c r="X40" i="9"/>
  <c r="X39" i="9"/>
  <c r="X38" i="9"/>
  <c r="X37" i="9"/>
  <c r="X36" i="9"/>
  <c r="X35" i="9"/>
  <c r="X34" i="9"/>
  <c r="X33" i="9"/>
  <c r="X32" i="9"/>
  <c r="X31" i="9"/>
  <c r="X30" i="9"/>
  <c r="X29" i="9"/>
  <c r="X26" i="9"/>
  <c r="X25" i="9"/>
  <c r="X24" i="9"/>
  <c r="X23" i="9"/>
  <c r="X22" i="9"/>
  <c r="X21" i="9"/>
  <c r="X20" i="9"/>
  <c r="X19" i="9"/>
  <c r="X18" i="9"/>
  <c r="X17" i="9"/>
  <c r="X16" i="9"/>
  <c r="X15" i="9"/>
  <c r="X14" i="9"/>
  <c r="X13" i="9"/>
  <c r="X12" i="9"/>
  <c r="X11" i="9"/>
  <c r="X10" i="9"/>
  <c r="X9" i="9"/>
  <c r="X8" i="9"/>
  <c r="X7" i="9"/>
  <c r="X6" i="9"/>
  <c r="X146" i="9"/>
  <c r="X126" i="9"/>
  <c r="S156" i="9"/>
  <c r="S170" i="9" s="1"/>
  <c r="Y3" i="9"/>
  <c r="X172" i="9"/>
  <c r="W154" i="4"/>
  <c r="W155" i="4" s="1"/>
  <c r="X26" i="4"/>
  <c r="W154" i="9"/>
  <c r="X153" i="4" s="1"/>
  <c r="U168" i="9" l="1"/>
  <c r="S171" i="4"/>
  <c r="T170" i="4"/>
  <c r="V168" i="9"/>
  <c r="W169" i="4" s="1"/>
  <c r="X89" i="4"/>
  <c r="W155" i="9"/>
  <c r="AV27" i="4" a="1"/>
  <c r="AV27" i="4" s="1"/>
  <c r="AU27" i="4" a="1"/>
  <c r="AU27" i="4" s="1"/>
  <c r="Z168" i="4"/>
  <c r="AW26" i="4"/>
  <c r="Y254" i="4"/>
  <c r="X45" i="9"/>
  <c r="Y44" i="4" s="1"/>
  <c r="X105" i="9"/>
  <c r="Y104" i="4" s="1"/>
  <c r="X113" i="9"/>
  <c r="Y112" i="4" s="1"/>
  <c r="X139" i="9"/>
  <c r="Y138" i="4" s="1"/>
  <c r="X123" i="9"/>
  <c r="Y122" i="4" s="1"/>
  <c r="X154" i="9"/>
  <c r="Y153" i="4" s="1"/>
  <c r="X132" i="9"/>
  <c r="Y131" i="4" s="1"/>
  <c r="X99" i="9"/>
  <c r="Y98" i="4" s="1"/>
  <c r="X90" i="9"/>
  <c r="X68" i="9"/>
  <c r="Y67" i="4" s="1"/>
  <c r="X27" i="9"/>
  <c r="Y26" i="4" s="1"/>
  <c r="U157" i="4"/>
  <c r="U174" i="4" s="1"/>
  <c r="W173" i="4"/>
  <c r="Y156" i="4"/>
  <c r="Z160" i="4"/>
  <c r="Z161" i="4"/>
  <c r="Z162" i="4"/>
  <c r="Z163" i="4"/>
  <c r="Z164" i="4"/>
  <c r="Z165" i="4"/>
  <c r="Z166" i="4"/>
  <c r="Z167" i="4"/>
  <c r="Z152" i="4"/>
  <c r="Z151" i="4"/>
  <c r="Z150" i="4"/>
  <c r="Z149" i="4"/>
  <c r="Z148" i="4"/>
  <c r="Z147" i="4"/>
  <c r="Z146" i="4"/>
  <c r="Z145" i="4"/>
  <c r="Z144" i="4"/>
  <c r="Z143" i="4"/>
  <c r="Z142" i="4"/>
  <c r="Z141" i="4"/>
  <c r="Z140" i="4"/>
  <c r="Z137" i="4"/>
  <c r="Z136" i="4"/>
  <c r="Z135" i="4"/>
  <c r="Z134" i="4"/>
  <c r="Z133" i="4"/>
  <c r="Z130" i="4"/>
  <c r="Z129" i="4"/>
  <c r="Z128" i="4"/>
  <c r="Z127" i="4"/>
  <c r="Z126" i="4"/>
  <c r="Z125" i="4"/>
  <c r="Z124" i="4"/>
  <c r="Z121" i="4"/>
  <c r="Z120" i="4"/>
  <c r="Z119" i="4"/>
  <c r="Z118" i="4"/>
  <c r="Z117" i="4"/>
  <c r="Z116" i="4"/>
  <c r="Z115" i="4"/>
  <c r="Z114" i="4"/>
  <c r="Z111" i="4"/>
  <c r="Z110" i="4"/>
  <c r="Z109" i="4"/>
  <c r="Z108" i="4"/>
  <c r="Z107" i="4"/>
  <c r="Z106" i="4"/>
  <c r="Z103" i="4"/>
  <c r="Z102" i="4"/>
  <c r="Z101" i="4"/>
  <c r="Z100" i="4"/>
  <c r="Z97" i="4"/>
  <c r="Z96" i="4"/>
  <c r="Z95" i="4"/>
  <c r="Z94" i="4"/>
  <c r="Z93" i="4"/>
  <c r="Z92" i="4"/>
  <c r="Z91" i="4"/>
  <c r="Z88" i="4"/>
  <c r="Z87" i="4"/>
  <c r="Z86" i="4"/>
  <c r="Z85" i="4"/>
  <c r="Z84" i="4"/>
  <c r="Z83" i="4"/>
  <c r="Z82" i="4"/>
  <c r="Z81" i="4"/>
  <c r="Z80" i="4"/>
  <c r="Z79" i="4"/>
  <c r="Z78" i="4"/>
  <c r="Z77" i="4"/>
  <c r="Z76" i="4"/>
  <c r="Z75" i="4"/>
  <c r="Z74" i="4"/>
  <c r="Z73" i="4"/>
  <c r="Z72" i="4"/>
  <c r="Z71" i="4"/>
  <c r="Z70" i="4"/>
  <c r="Z69" i="4"/>
  <c r="Z66" i="4"/>
  <c r="Z65" i="4"/>
  <c r="Z64" i="4"/>
  <c r="Z63" i="4"/>
  <c r="Z62" i="4"/>
  <c r="Z61" i="4"/>
  <c r="Z60" i="4"/>
  <c r="Z59" i="4"/>
  <c r="Z58" i="4"/>
  <c r="Z57" i="4"/>
  <c r="Z56" i="4"/>
  <c r="Z55" i="4"/>
  <c r="Z54" i="4"/>
  <c r="Z53" i="4"/>
  <c r="Z52" i="4"/>
  <c r="Z51" i="4"/>
  <c r="Z50" i="4"/>
  <c r="Z49" i="4"/>
  <c r="Z48" i="4"/>
  <c r="Z47" i="4"/>
  <c r="Z46" i="4"/>
  <c r="Z43" i="4"/>
  <c r="Z42" i="4"/>
  <c r="Z41" i="4"/>
  <c r="Z40" i="4"/>
  <c r="Z39" i="4"/>
  <c r="Z38" i="4"/>
  <c r="Z37" i="4"/>
  <c r="Z36" i="4"/>
  <c r="Z35" i="4"/>
  <c r="Z34" i="4"/>
  <c r="Z33" i="4"/>
  <c r="Z32" i="4"/>
  <c r="Z31" i="4"/>
  <c r="Z30" i="4"/>
  <c r="Z29" i="4"/>
  <c r="Z28" i="4"/>
  <c r="Z2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5" i="4"/>
  <c r="X1" i="9"/>
  <c r="Y1" i="4"/>
  <c r="AA2" i="4"/>
  <c r="Z256" i="4"/>
  <c r="Z255" i="4"/>
  <c r="W2" i="9"/>
  <c r="Y167" i="9"/>
  <c r="Y166" i="9"/>
  <c r="Y165" i="9"/>
  <c r="Y164" i="9"/>
  <c r="Y163" i="9"/>
  <c r="Y162" i="9"/>
  <c r="Y161" i="9"/>
  <c r="Y160" i="9"/>
  <c r="Y159" i="9"/>
  <c r="Y153" i="9"/>
  <c r="Y152" i="9"/>
  <c r="Y151" i="9"/>
  <c r="Y150" i="9"/>
  <c r="Y149" i="9"/>
  <c r="Y148" i="9"/>
  <c r="Y147" i="9"/>
  <c r="Y145" i="9"/>
  <c r="Y144" i="9"/>
  <c r="Y143" i="9"/>
  <c r="Y142" i="9"/>
  <c r="Y141" i="9"/>
  <c r="Y138" i="9"/>
  <c r="Y137" i="9"/>
  <c r="Y136" i="9"/>
  <c r="Y135" i="9"/>
  <c r="Y134" i="9"/>
  <c r="Y131" i="9"/>
  <c r="Y130" i="9"/>
  <c r="Y129" i="9"/>
  <c r="Y128" i="9"/>
  <c r="Y127" i="9"/>
  <c r="Y125" i="9"/>
  <c r="Y122" i="9"/>
  <c r="Y121" i="9"/>
  <c r="Y120" i="9"/>
  <c r="Y119" i="9"/>
  <c r="Y118" i="9"/>
  <c r="Y117" i="9"/>
  <c r="Y116" i="9"/>
  <c r="Y115" i="9"/>
  <c r="Y112" i="9"/>
  <c r="Y111" i="9"/>
  <c r="Y110" i="9"/>
  <c r="Y109" i="9"/>
  <c r="Y108" i="9"/>
  <c r="Y107" i="9"/>
  <c r="Y104" i="9"/>
  <c r="Y103" i="9"/>
  <c r="Y102" i="9"/>
  <c r="Y101" i="9"/>
  <c r="Y98" i="9"/>
  <c r="Y97" i="9"/>
  <c r="Y96" i="9"/>
  <c r="Y95" i="9"/>
  <c r="Y94" i="9"/>
  <c r="Y93" i="9"/>
  <c r="Y92" i="9"/>
  <c r="Y89" i="9"/>
  <c r="Y88" i="9"/>
  <c r="Y87" i="9"/>
  <c r="Y86" i="9"/>
  <c r="Y85" i="9"/>
  <c r="Y84" i="9"/>
  <c r="Y83" i="9"/>
  <c r="Y82" i="9"/>
  <c r="Y81" i="9"/>
  <c r="Y80" i="9"/>
  <c r="Y79" i="9"/>
  <c r="Y78" i="9"/>
  <c r="Y77" i="9"/>
  <c r="Y76" i="9"/>
  <c r="Y75" i="9"/>
  <c r="Y74" i="9"/>
  <c r="Y73" i="9"/>
  <c r="Y72" i="9"/>
  <c r="Y71" i="9"/>
  <c r="Y70" i="9"/>
  <c r="Y67" i="9"/>
  <c r="Y66" i="9"/>
  <c r="Y65" i="9"/>
  <c r="Y64" i="9"/>
  <c r="Y63" i="9"/>
  <c r="Y62" i="9"/>
  <c r="Y61" i="9"/>
  <c r="Y60" i="9"/>
  <c r="Y59" i="9"/>
  <c r="Y58" i="9"/>
  <c r="Y57" i="9"/>
  <c r="Y56" i="9"/>
  <c r="Y55" i="9"/>
  <c r="Y54" i="9"/>
  <c r="Y53" i="9"/>
  <c r="Y52" i="9"/>
  <c r="Y51" i="9"/>
  <c r="Y50" i="9"/>
  <c r="Y49" i="9"/>
  <c r="Y48" i="9"/>
  <c r="Y47" i="9"/>
  <c r="Y44" i="9"/>
  <c r="Y43" i="9"/>
  <c r="Y42" i="9"/>
  <c r="Y41" i="9"/>
  <c r="Y40" i="9"/>
  <c r="Y39" i="9"/>
  <c r="Y38" i="9"/>
  <c r="Y37" i="9"/>
  <c r="Y36" i="9"/>
  <c r="Y35" i="9"/>
  <c r="Y34" i="9"/>
  <c r="Y33" i="9"/>
  <c r="Y32" i="9"/>
  <c r="Y31" i="9"/>
  <c r="Y30" i="9"/>
  <c r="Y29" i="9"/>
  <c r="Y26" i="9"/>
  <c r="Y25" i="9"/>
  <c r="Y24" i="9"/>
  <c r="Y23" i="9"/>
  <c r="Y22" i="9"/>
  <c r="Y21" i="9"/>
  <c r="Y20" i="9"/>
  <c r="Y19" i="9"/>
  <c r="Y18" i="9"/>
  <c r="Y17" i="9"/>
  <c r="Y16" i="9"/>
  <c r="Y15" i="9"/>
  <c r="Y14" i="9"/>
  <c r="Y13" i="9"/>
  <c r="Y12" i="9"/>
  <c r="Y11" i="9"/>
  <c r="Y10" i="9"/>
  <c r="Y9" i="9"/>
  <c r="Y8" i="9"/>
  <c r="Y7" i="9"/>
  <c r="Y6" i="9"/>
  <c r="Y146" i="9"/>
  <c r="Y126" i="9"/>
  <c r="T156" i="9"/>
  <c r="T170" i="9" s="1"/>
  <c r="Z3" i="9"/>
  <c r="Y172" i="9"/>
  <c r="X154" i="4"/>
  <c r="X155" i="4" s="1"/>
  <c r="V169" i="4" l="1"/>
  <c r="U169" i="9"/>
  <c r="V169" i="9" s="1"/>
  <c r="T171" i="4"/>
  <c r="U170" i="4"/>
  <c r="W168" i="9"/>
  <c r="X169" i="4" s="1"/>
  <c r="Y89" i="4"/>
  <c r="X155" i="9"/>
  <c r="AX27" i="4" a="1"/>
  <c r="AX27" i="4" s="1"/>
  <c r="AW27" i="4" a="1"/>
  <c r="AW27" i="4" s="1"/>
  <c r="AA168" i="4"/>
  <c r="AY26" i="4"/>
  <c r="X171" i="9"/>
  <c r="Z254" i="4"/>
  <c r="Y45" i="9"/>
  <c r="Z44" i="4" s="1"/>
  <c r="Y105" i="9"/>
  <c r="Z104" i="4" s="1"/>
  <c r="Y113" i="9"/>
  <c r="Z112" i="4" s="1"/>
  <c r="Y139" i="9"/>
  <c r="Z138" i="4" s="1"/>
  <c r="Y99" i="9"/>
  <c r="Z98" i="4" s="1"/>
  <c r="Y27" i="9"/>
  <c r="Z26" i="4" s="1"/>
  <c r="Y132" i="9"/>
  <c r="Z131" i="4" s="1"/>
  <c r="Y123" i="9"/>
  <c r="Z122" i="4" s="1"/>
  <c r="Y90" i="9"/>
  <c r="Y68" i="9"/>
  <c r="Z67" i="4" s="1"/>
  <c r="V157" i="4"/>
  <c r="V174" i="4" s="1"/>
  <c r="X173" i="4"/>
  <c r="Z156" i="4"/>
  <c r="AA160" i="4"/>
  <c r="AA161" i="4"/>
  <c r="AA162" i="4"/>
  <c r="AA163" i="4"/>
  <c r="AA164" i="4"/>
  <c r="AA165" i="4"/>
  <c r="AA166" i="4"/>
  <c r="AA167" i="4"/>
  <c r="AA152" i="4"/>
  <c r="AA151" i="4"/>
  <c r="AA150" i="4"/>
  <c r="AA149" i="4"/>
  <c r="AA148" i="4"/>
  <c r="AA147" i="4"/>
  <c r="AA146" i="4"/>
  <c r="AA145" i="4"/>
  <c r="AA144" i="4"/>
  <c r="AA143" i="4"/>
  <c r="AA142" i="4"/>
  <c r="AA141" i="4"/>
  <c r="AA140" i="4"/>
  <c r="AA137" i="4"/>
  <c r="AA136" i="4"/>
  <c r="AA135" i="4"/>
  <c r="AA134" i="4"/>
  <c r="AA133" i="4"/>
  <c r="AA130" i="4"/>
  <c r="AA129" i="4"/>
  <c r="AA128" i="4"/>
  <c r="AA127" i="4"/>
  <c r="AA126" i="4"/>
  <c r="AA125" i="4"/>
  <c r="AA124" i="4"/>
  <c r="AA121" i="4"/>
  <c r="AA120" i="4"/>
  <c r="AA119" i="4"/>
  <c r="AA118" i="4"/>
  <c r="AA117" i="4"/>
  <c r="AA116" i="4"/>
  <c r="AA115" i="4"/>
  <c r="AA114" i="4"/>
  <c r="AA111" i="4"/>
  <c r="AA110" i="4"/>
  <c r="AA109" i="4"/>
  <c r="AA108" i="4"/>
  <c r="AA107" i="4"/>
  <c r="AA106" i="4"/>
  <c r="AA103" i="4"/>
  <c r="AA102" i="4"/>
  <c r="AA101" i="4"/>
  <c r="AA100" i="4"/>
  <c r="AA97" i="4"/>
  <c r="AA96" i="4"/>
  <c r="AA95" i="4"/>
  <c r="AA94" i="4"/>
  <c r="AA93" i="4"/>
  <c r="AA92" i="4"/>
  <c r="AA91" i="4"/>
  <c r="AA88" i="4"/>
  <c r="AA87" i="4"/>
  <c r="AA86" i="4"/>
  <c r="AA85" i="4"/>
  <c r="AA84" i="4"/>
  <c r="AA83" i="4"/>
  <c r="AA8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5" i="4"/>
  <c r="Y1" i="9"/>
  <c r="Z1" i="4"/>
  <c r="AB2" i="4"/>
  <c r="AA256" i="4"/>
  <c r="AA255" i="4"/>
  <c r="X2" i="9"/>
  <c r="Z167" i="9"/>
  <c r="Z166" i="9"/>
  <c r="Z165" i="9"/>
  <c r="Z164" i="9"/>
  <c r="Z163" i="9"/>
  <c r="Z162" i="9"/>
  <c r="Z161" i="9"/>
  <c r="Z160" i="9"/>
  <c r="Z159" i="9"/>
  <c r="Z153" i="9"/>
  <c r="Z152" i="9"/>
  <c r="Z151" i="9"/>
  <c r="Z150" i="9"/>
  <c r="Z149" i="9"/>
  <c r="Z148" i="9"/>
  <c r="Z147" i="9"/>
  <c r="Z145" i="9"/>
  <c r="Z144" i="9"/>
  <c r="Z143" i="9"/>
  <c r="Z142" i="9"/>
  <c r="Z141" i="9"/>
  <c r="Z138" i="9"/>
  <c r="Z137" i="9"/>
  <c r="Z136" i="9"/>
  <c r="Z135" i="9"/>
  <c r="Z134" i="9"/>
  <c r="Z131" i="9"/>
  <c r="Z130" i="9"/>
  <c r="Z129" i="9"/>
  <c r="Z128" i="9"/>
  <c r="Z127" i="9"/>
  <c r="Z125" i="9"/>
  <c r="Z122" i="9"/>
  <c r="Z121" i="9"/>
  <c r="Z120" i="9"/>
  <c r="Z119" i="9"/>
  <c r="Z118" i="9"/>
  <c r="Z117" i="9"/>
  <c r="Z116" i="9"/>
  <c r="Z115" i="9"/>
  <c r="Z112" i="9"/>
  <c r="Z111" i="9"/>
  <c r="Z110" i="9"/>
  <c r="Z109" i="9"/>
  <c r="Z108" i="9"/>
  <c r="Z107" i="9"/>
  <c r="Z104" i="9"/>
  <c r="Z103" i="9"/>
  <c r="Z102" i="9"/>
  <c r="Z101" i="9"/>
  <c r="Z98" i="9"/>
  <c r="Z97" i="9"/>
  <c r="Z96" i="9"/>
  <c r="Z95" i="9"/>
  <c r="Z94" i="9"/>
  <c r="Z93" i="9"/>
  <c r="Z92" i="9"/>
  <c r="Z89" i="9"/>
  <c r="Z88" i="9"/>
  <c r="Z87" i="9"/>
  <c r="Z86" i="9"/>
  <c r="Z85" i="9"/>
  <c r="Z84" i="9"/>
  <c r="Z83" i="9"/>
  <c r="Z82" i="9"/>
  <c r="Z81" i="9"/>
  <c r="Z80" i="9"/>
  <c r="Z79" i="9"/>
  <c r="Z78" i="9"/>
  <c r="Z77" i="9"/>
  <c r="Z76" i="9"/>
  <c r="Z75" i="9"/>
  <c r="Z74" i="9"/>
  <c r="Z73" i="9"/>
  <c r="Z72" i="9"/>
  <c r="Z71" i="9"/>
  <c r="Z70" i="9"/>
  <c r="Z67" i="9"/>
  <c r="Z66" i="9"/>
  <c r="Z65" i="9"/>
  <c r="Z64" i="9"/>
  <c r="Z63" i="9"/>
  <c r="Z62" i="9"/>
  <c r="Z61" i="9"/>
  <c r="Z60" i="9"/>
  <c r="Z59" i="9"/>
  <c r="Z58" i="9"/>
  <c r="Z57" i="9"/>
  <c r="Z56" i="9"/>
  <c r="Z55" i="9"/>
  <c r="Z54" i="9"/>
  <c r="Z53" i="9"/>
  <c r="Z52" i="9"/>
  <c r="Z51" i="9"/>
  <c r="Z50" i="9"/>
  <c r="Z49" i="9"/>
  <c r="Z48" i="9"/>
  <c r="Z47" i="9"/>
  <c r="Z44" i="9"/>
  <c r="Z43" i="9"/>
  <c r="Z42" i="9"/>
  <c r="Z41" i="9"/>
  <c r="Z40" i="9"/>
  <c r="Z39" i="9"/>
  <c r="Z38" i="9"/>
  <c r="Z37" i="9"/>
  <c r="Z36" i="9"/>
  <c r="Z35" i="9"/>
  <c r="Z34" i="9"/>
  <c r="Z33" i="9"/>
  <c r="Z32" i="9"/>
  <c r="Z31" i="9"/>
  <c r="Z30" i="9"/>
  <c r="Z29" i="9"/>
  <c r="Z26" i="9"/>
  <c r="Z25" i="9"/>
  <c r="Z24" i="9"/>
  <c r="Z23" i="9"/>
  <c r="Z22" i="9"/>
  <c r="Z21" i="9"/>
  <c r="Z20" i="9"/>
  <c r="Z19" i="9"/>
  <c r="Z18" i="9"/>
  <c r="Z17" i="9"/>
  <c r="Z16" i="9"/>
  <c r="Z15" i="9"/>
  <c r="Z14" i="9"/>
  <c r="Z13" i="9"/>
  <c r="Z12" i="9"/>
  <c r="Z11" i="9"/>
  <c r="Z10" i="9"/>
  <c r="Z9" i="9"/>
  <c r="Z8" i="9"/>
  <c r="Z7" i="9"/>
  <c r="Z6" i="9"/>
  <c r="Z146" i="9"/>
  <c r="Z126" i="9"/>
  <c r="U156" i="9"/>
  <c r="U170" i="9" s="1"/>
  <c r="AA3" i="9"/>
  <c r="Z172" i="9"/>
  <c r="W169" i="9"/>
  <c r="Y154" i="4"/>
  <c r="Y155" i="4" s="1"/>
  <c r="Y154" i="9"/>
  <c r="Z153" i="4" s="1"/>
  <c r="U171" i="4" l="1"/>
  <c r="V170" i="4"/>
  <c r="X168" i="9"/>
  <c r="Y169" i="4" s="1"/>
  <c r="Z89" i="4"/>
  <c r="Y155" i="9"/>
  <c r="AZ27" i="4" a="1"/>
  <c r="AZ27" i="4" s="1"/>
  <c r="AY27" i="4" a="1"/>
  <c r="AY27" i="4" s="1"/>
  <c r="AB168" i="4"/>
  <c r="BA26" i="4"/>
  <c r="Y171" i="9"/>
  <c r="AA254" i="4"/>
  <c r="Z45" i="9"/>
  <c r="AA44" i="4" s="1"/>
  <c r="Z68" i="9"/>
  <c r="AA67" i="4" s="1"/>
  <c r="Z105" i="9"/>
  <c r="AA104" i="4" s="1"/>
  <c r="Z113" i="9"/>
  <c r="AA112" i="4" s="1"/>
  <c r="Z139" i="9"/>
  <c r="AA138" i="4" s="1"/>
  <c r="Z123" i="9"/>
  <c r="AA122" i="4" s="1"/>
  <c r="Z154" i="9"/>
  <c r="AA153" i="4" s="1"/>
  <c r="Z90" i="9"/>
  <c r="Z99" i="9"/>
  <c r="AA98" i="4" s="1"/>
  <c r="Z27" i="9"/>
  <c r="AA26" i="4" s="1"/>
  <c r="Z132" i="9"/>
  <c r="AA131" i="4" s="1"/>
  <c r="W157" i="4"/>
  <c r="W174" i="4" s="1"/>
  <c r="Y173" i="4"/>
  <c r="AA156" i="4"/>
  <c r="AB160" i="4"/>
  <c r="AB161" i="4"/>
  <c r="AB162" i="4"/>
  <c r="AB163" i="4"/>
  <c r="AB164" i="4"/>
  <c r="AB165" i="4"/>
  <c r="AB166" i="4"/>
  <c r="AB167" i="4"/>
  <c r="AB152" i="4"/>
  <c r="AB151" i="4"/>
  <c r="AB150" i="4"/>
  <c r="AB149" i="4"/>
  <c r="AB148" i="4"/>
  <c r="AB147" i="4"/>
  <c r="AB146" i="4"/>
  <c r="AB145" i="4"/>
  <c r="AB144" i="4"/>
  <c r="AB143" i="4"/>
  <c r="AB142" i="4"/>
  <c r="AB141" i="4"/>
  <c r="AB140" i="4"/>
  <c r="AB137" i="4"/>
  <c r="AB136" i="4"/>
  <c r="AB135" i="4"/>
  <c r="AB134" i="4"/>
  <c r="AB133" i="4"/>
  <c r="AB130" i="4"/>
  <c r="AB129" i="4"/>
  <c r="AB128" i="4"/>
  <c r="AB127" i="4"/>
  <c r="AB126" i="4"/>
  <c r="AB125" i="4"/>
  <c r="AB124" i="4"/>
  <c r="AB121" i="4"/>
  <c r="AB120" i="4"/>
  <c r="AB119" i="4"/>
  <c r="AB118" i="4"/>
  <c r="AB117" i="4"/>
  <c r="AB116" i="4"/>
  <c r="AB115" i="4"/>
  <c r="AB114" i="4"/>
  <c r="AB111" i="4"/>
  <c r="AB110" i="4"/>
  <c r="AB109" i="4"/>
  <c r="AB108" i="4"/>
  <c r="AB107" i="4"/>
  <c r="AB106" i="4"/>
  <c r="AB103" i="4"/>
  <c r="AB102" i="4"/>
  <c r="AB101" i="4"/>
  <c r="AB100" i="4"/>
  <c r="AB97" i="4"/>
  <c r="AB96" i="4"/>
  <c r="AB95" i="4"/>
  <c r="AB94" i="4"/>
  <c r="AB93" i="4"/>
  <c r="AB92" i="4"/>
  <c r="AB91" i="4"/>
  <c r="AB88" i="4"/>
  <c r="AB87" i="4"/>
  <c r="AB86" i="4"/>
  <c r="AB85" i="4"/>
  <c r="AB84" i="4"/>
  <c r="AB83" i="4"/>
  <c r="AB82" i="4"/>
  <c r="AB81" i="4"/>
  <c r="AB80" i="4"/>
  <c r="AB79" i="4"/>
  <c r="AB78" i="4"/>
  <c r="AB77" i="4"/>
  <c r="AB76" i="4"/>
  <c r="AB75" i="4"/>
  <c r="AB74" i="4"/>
  <c r="AB73" i="4"/>
  <c r="AB72" i="4"/>
  <c r="AB71" i="4"/>
  <c r="AB70" i="4"/>
  <c r="AB69" i="4"/>
  <c r="AB66" i="4"/>
  <c r="AB65" i="4"/>
  <c r="AB64" i="4"/>
  <c r="AB63" i="4"/>
  <c r="AB62" i="4"/>
  <c r="AB61" i="4"/>
  <c r="AB60" i="4"/>
  <c r="AB59" i="4"/>
  <c r="AB58" i="4"/>
  <c r="AB57" i="4"/>
  <c r="AB56" i="4"/>
  <c r="AB55" i="4"/>
  <c r="AB54" i="4"/>
  <c r="AB53" i="4"/>
  <c r="AB52" i="4"/>
  <c r="AB51" i="4"/>
  <c r="AB50" i="4"/>
  <c r="AB49" i="4"/>
  <c r="AB48" i="4"/>
  <c r="AB47" i="4"/>
  <c r="AB46" i="4"/>
  <c r="AB43" i="4"/>
  <c r="AB42" i="4"/>
  <c r="AB41" i="4"/>
  <c r="AB40" i="4"/>
  <c r="AB39" i="4"/>
  <c r="AB38" i="4"/>
  <c r="AB37" i="4"/>
  <c r="AB36" i="4"/>
  <c r="AB35" i="4"/>
  <c r="AB34" i="4"/>
  <c r="AB33" i="4"/>
  <c r="AB32" i="4"/>
  <c r="AB31" i="4"/>
  <c r="AB30" i="4"/>
  <c r="AB29" i="4"/>
  <c r="AB28" i="4"/>
  <c r="AB2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5" i="4"/>
  <c r="Z1" i="9"/>
  <c r="AA1" i="4"/>
  <c r="AC2" i="4"/>
  <c r="AB256" i="4"/>
  <c r="AB255" i="4"/>
  <c r="Y2" i="9"/>
  <c r="AA167" i="9"/>
  <c r="AA166" i="9"/>
  <c r="AA165" i="9"/>
  <c r="AA164" i="9"/>
  <c r="AA163" i="9"/>
  <c r="AA162" i="9"/>
  <c r="AA161" i="9"/>
  <c r="AA160" i="9"/>
  <c r="AA159" i="9"/>
  <c r="AA153" i="9"/>
  <c r="AA152" i="9"/>
  <c r="AA151" i="9"/>
  <c r="AA150" i="9"/>
  <c r="AA149" i="9"/>
  <c r="AA148" i="9"/>
  <c r="AA147" i="9"/>
  <c r="AA145" i="9"/>
  <c r="AA144" i="9"/>
  <c r="AA143" i="9"/>
  <c r="AA142" i="9"/>
  <c r="AA141" i="9"/>
  <c r="AA138" i="9"/>
  <c r="AA137" i="9"/>
  <c r="AA136" i="9"/>
  <c r="AA135" i="9"/>
  <c r="AA134" i="9"/>
  <c r="AA131" i="9"/>
  <c r="AA130" i="9"/>
  <c r="AA129" i="9"/>
  <c r="AA128" i="9"/>
  <c r="AA127" i="9"/>
  <c r="AA125" i="9"/>
  <c r="AA122" i="9"/>
  <c r="AA121" i="9"/>
  <c r="AA120" i="9"/>
  <c r="AA119" i="9"/>
  <c r="AA118" i="9"/>
  <c r="AA117" i="9"/>
  <c r="AA116" i="9"/>
  <c r="AA115" i="9"/>
  <c r="AA112" i="9"/>
  <c r="AA111" i="9"/>
  <c r="AA110" i="9"/>
  <c r="AA109" i="9"/>
  <c r="AA108" i="9"/>
  <c r="AA107" i="9"/>
  <c r="AA104" i="9"/>
  <c r="AA103" i="9"/>
  <c r="AA102" i="9"/>
  <c r="AA101" i="9"/>
  <c r="AA98" i="9"/>
  <c r="AA97" i="9"/>
  <c r="AA96" i="9"/>
  <c r="AA95" i="9"/>
  <c r="AA94" i="9"/>
  <c r="AA93" i="9"/>
  <c r="AA92" i="9"/>
  <c r="AA89" i="9"/>
  <c r="AA88" i="9"/>
  <c r="AA87" i="9"/>
  <c r="AA86" i="9"/>
  <c r="AA85" i="9"/>
  <c r="AA84" i="9"/>
  <c r="AA83" i="9"/>
  <c r="AA82" i="9"/>
  <c r="AA81" i="9"/>
  <c r="AA80" i="9"/>
  <c r="AA79" i="9"/>
  <c r="AA78" i="9"/>
  <c r="AA77" i="9"/>
  <c r="AA76" i="9"/>
  <c r="AA75" i="9"/>
  <c r="AA74" i="9"/>
  <c r="AA73" i="9"/>
  <c r="AA72" i="9"/>
  <c r="AA71" i="9"/>
  <c r="AA70" i="9"/>
  <c r="AA67" i="9"/>
  <c r="AA66" i="9"/>
  <c r="AA65" i="9"/>
  <c r="AA64" i="9"/>
  <c r="AA63" i="9"/>
  <c r="AA62" i="9"/>
  <c r="AA61" i="9"/>
  <c r="AA60" i="9"/>
  <c r="AA59" i="9"/>
  <c r="AA58" i="9"/>
  <c r="AA57" i="9"/>
  <c r="AA56" i="9"/>
  <c r="AA55" i="9"/>
  <c r="AA54" i="9"/>
  <c r="AA53" i="9"/>
  <c r="AA52" i="9"/>
  <c r="AA51" i="9"/>
  <c r="AA50" i="9"/>
  <c r="AA49" i="9"/>
  <c r="AA48" i="9"/>
  <c r="AA47" i="9"/>
  <c r="AA44" i="9"/>
  <c r="AA43" i="9"/>
  <c r="AA42" i="9"/>
  <c r="AA41" i="9"/>
  <c r="AA40" i="9"/>
  <c r="AA39" i="9"/>
  <c r="AA38" i="9"/>
  <c r="AA37" i="9"/>
  <c r="AA36" i="9"/>
  <c r="AA35" i="9"/>
  <c r="AA34" i="9"/>
  <c r="AA33" i="9"/>
  <c r="AA32" i="9"/>
  <c r="AA31" i="9"/>
  <c r="AA30" i="9"/>
  <c r="AA29" i="9"/>
  <c r="AA26" i="9"/>
  <c r="AA25" i="9"/>
  <c r="AA24" i="9"/>
  <c r="AA23" i="9"/>
  <c r="AA22" i="9"/>
  <c r="AA21" i="9"/>
  <c r="AA20" i="9"/>
  <c r="AA19" i="9"/>
  <c r="AA18" i="9"/>
  <c r="AA17" i="9"/>
  <c r="AA16" i="9"/>
  <c r="AA15" i="9"/>
  <c r="AA14" i="9"/>
  <c r="AA13" i="9"/>
  <c r="AA12" i="9"/>
  <c r="AA11" i="9"/>
  <c r="AA10" i="9"/>
  <c r="AA9" i="9"/>
  <c r="AA8" i="9"/>
  <c r="AA7" i="9"/>
  <c r="AA6" i="9"/>
  <c r="AA146" i="9"/>
  <c r="AA126" i="9"/>
  <c r="V156" i="9"/>
  <c r="V170" i="9" s="1"/>
  <c r="AB3" i="9"/>
  <c r="AA172" i="9"/>
  <c r="X169" i="9"/>
  <c r="Z154" i="4"/>
  <c r="Z155" i="4" s="1"/>
  <c r="V171" i="4" l="1"/>
  <c r="W170" i="4"/>
  <c r="Y168" i="9"/>
  <c r="Z169" i="4" s="1"/>
  <c r="AA89" i="4"/>
  <c r="Z155" i="9"/>
  <c r="BB27" i="4" a="1"/>
  <c r="BB27" i="4" s="1"/>
  <c r="BA27" i="4" a="1"/>
  <c r="BA27" i="4" s="1"/>
  <c r="AC168" i="4"/>
  <c r="BC26" i="4"/>
  <c r="Z171" i="9"/>
  <c r="AB254" i="4"/>
  <c r="AA45" i="9"/>
  <c r="AB44" i="4" s="1"/>
  <c r="AA99" i="9"/>
  <c r="AB98" i="4" s="1"/>
  <c r="AA105" i="9"/>
  <c r="AB104" i="4" s="1"/>
  <c r="AA113" i="9"/>
  <c r="AB112" i="4" s="1"/>
  <c r="AA139" i="9"/>
  <c r="AB138" i="4" s="1"/>
  <c r="AA27" i="9"/>
  <c r="AB26" i="4" s="1"/>
  <c r="AA132" i="9"/>
  <c r="AB131" i="4" s="1"/>
  <c r="AA123" i="9"/>
  <c r="AB122" i="4" s="1"/>
  <c r="AA90" i="9"/>
  <c r="AA68" i="9"/>
  <c r="AB67" i="4" s="1"/>
  <c r="X157" i="4"/>
  <c r="X174" i="4" s="1"/>
  <c r="Z173" i="4"/>
  <c r="AB156" i="4"/>
  <c r="AC160" i="4"/>
  <c r="AC161" i="4"/>
  <c r="AC162" i="4"/>
  <c r="AC163" i="4"/>
  <c r="AC164" i="4"/>
  <c r="AC165" i="4"/>
  <c r="AC166" i="4"/>
  <c r="AC167" i="4"/>
  <c r="AC152" i="4"/>
  <c r="AC151" i="4"/>
  <c r="AC150" i="4"/>
  <c r="AC149" i="4"/>
  <c r="AC148" i="4"/>
  <c r="AC147" i="4"/>
  <c r="AC146" i="4"/>
  <c r="AC145" i="4"/>
  <c r="AC144" i="4"/>
  <c r="AC143" i="4"/>
  <c r="AC142" i="4"/>
  <c r="AC141" i="4"/>
  <c r="AC140" i="4"/>
  <c r="AC137" i="4"/>
  <c r="AC136" i="4"/>
  <c r="AC135" i="4"/>
  <c r="AC134" i="4"/>
  <c r="AC133" i="4"/>
  <c r="AC130" i="4"/>
  <c r="AC129" i="4"/>
  <c r="AC128" i="4"/>
  <c r="AC127" i="4"/>
  <c r="AC126" i="4"/>
  <c r="AC125" i="4"/>
  <c r="AC124" i="4"/>
  <c r="AC121" i="4"/>
  <c r="AC120" i="4"/>
  <c r="AC119" i="4"/>
  <c r="AC118" i="4"/>
  <c r="AC117" i="4"/>
  <c r="AC116" i="4"/>
  <c r="AC115" i="4"/>
  <c r="AC114" i="4"/>
  <c r="AC111" i="4"/>
  <c r="AC110" i="4"/>
  <c r="AC109" i="4"/>
  <c r="AC108" i="4"/>
  <c r="AC107" i="4"/>
  <c r="AC106" i="4"/>
  <c r="AC103" i="4"/>
  <c r="AC102" i="4"/>
  <c r="AC101" i="4"/>
  <c r="AC100" i="4"/>
  <c r="AC97" i="4"/>
  <c r="AC96" i="4"/>
  <c r="AC95" i="4"/>
  <c r="AC94" i="4"/>
  <c r="AC93" i="4"/>
  <c r="AC92" i="4"/>
  <c r="AC91" i="4"/>
  <c r="AC88" i="4"/>
  <c r="AC87" i="4"/>
  <c r="AC86" i="4"/>
  <c r="AC85" i="4"/>
  <c r="AC84" i="4"/>
  <c r="AC83" i="4"/>
  <c r="AC82" i="4"/>
  <c r="AC81" i="4"/>
  <c r="AC80" i="4"/>
  <c r="AC79" i="4"/>
  <c r="AC78" i="4"/>
  <c r="AC77" i="4"/>
  <c r="AC76" i="4"/>
  <c r="AC75" i="4"/>
  <c r="AC74" i="4"/>
  <c r="AC73" i="4"/>
  <c r="AC72" i="4"/>
  <c r="AC71" i="4"/>
  <c r="AC70" i="4"/>
  <c r="AC69" i="4"/>
  <c r="AC66" i="4"/>
  <c r="AC65" i="4"/>
  <c r="AC64" i="4"/>
  <c r="AC63" i="4"/>
  <c r="AC62" i="4"/>
  <c r="AC61" i="4"/>
  <c r="AC60" i="4"/>
  <c r="AC59" i="4"/>
  <c r="AC58" i="4"/>
  <c r="AC57" i="4"/>
  <c r="AC56" i="4"/>
  <c r="AC55" i="4"/>
  <c r="AC54" i="4"/>
  <c r="AC53" i="4"/>
  <c r="AC52" i="4"/>
  <c r="AC51" i="4"/>
  <c r="AC50" i="4"/>
  <c r="AC49" i="4"/>
  <c r="AC48" i="4"/>
  <c r="AC47" i="4"/>
  <c r="AC46" i="4"/>
  <c r="AC43" i="4"/>
  <c r="AC42" i="4"/>
  <c r="AC41" i="4"/>
  <c r="AC40" i="4"/>
  <c r="AC39" i="4"/>
  <c r="AC38" i="4"/>
  <c r="AC37" i="4"/>
  <c r="AC36" i="4"/>
  <c r="AC35" i="4"/>
  <c r="AC34" i="4"/>
  <c r="AC33" i="4"/>
  <c r="AC32" i="4"/>
  <c r="AC31" i="4"/>
  <c r="AC30" i="4"/>
  <c r="AC29" i="4"/>
  <c r="AC28" i="4"/>
  <c r="AC2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5" i="4"/>
  <c r="AA1" i="9"/>
  <c r="AB1" i="4"/>
  <c r="AD2" i="4"/>
  <c r="AC256" i="4"/>
  <c r="AC255" i="4"/>
  <c r="Z2" i="9"/>
  <c r="AB167" i="9"/>
  <c r="AB166" i="9"/>
  <c r="AB165" i="9"/>
  <c r="AB164" i="9"/>
  <c r="AB163" i="9"/>
  <c r="AB162" i="9"/>
  <c r="AB161" i="9"/>
  <c r="AB160" i="9"/>
  <c r="AB159" i="9"/>
  <c r="AB153" i="9"/>
  <c r="AB152" i="9"/>
  <c r="AB151" i="9"/>
  <c r="AB150" i="9"/>
  <c r="AB149" i="9"/>
  <c r="AB148" i="9"/>
  <c r="AB147" i="9"/>
  <c r="AB145" i="9"/>
  <c r="AB144" i="9"/>
  <c r="AB143" i="9"/>
  <c r="AB142" i="9"/>
  <c r="AB141" i="9"/>
  <c r="AB138" i="9"/>
  <c r="AB137" i="9"/>
  <c r="AB136" i="9"/>
  <c r="AB135" i="9"/>
  <c r="AB134" i="9"/>
  <c r="AB131" i="9"/>
  <c r="AB130" i="9"/>
  <c r="AB129" i="9"/>
  <c r="AB128" i="9"/>
  <c r="AB127" i="9"/>
  <c r="AB125" i="9"/>
  <c r="AB122" i="9"/>
  <c r="AB121" i="9"/>
  <c r="AB120" i="9"/>
  <c r="AB119" i="9"/>
  <c r="AB118" i="9"/>
  <c r="AB117" i="9"/>
  <c r="AB116" i="9"/>
  <c r="AB115" i="9"/>
  <c r="AB112" i="9"/>
  <c r="AB111" i="9"/>
  <c r="AB110" i="9"/>
  <c r="AB109" i="9"/>
  <c r="AB108" i="9"/>
  <c r="AB107" i="9"/>
  <c r="AB104" i="9"/>
  <c r="AB103" i="9"/>
  <c r="AB102" i="9"/>
  <c r="AB101" i="9"/>
  <c r="AB98" i="9"/>
  <c r="AB97" i="9"/>
  <c r="AB96" i="9"/>
  <c r="AB95" i="9"/>
  <c r="AB94" i="9"/>
  <c r="AB93" i="9"/>
  <c r="AB92" i="9"/>
  <c r="AB89" i="9"/>
  <c r="AB88" i="9"/>
  <c r="AB87" i="9"/>
  <c r="AB86" i="9"/>
  <c r="AB85" i="9"/>
  <c r="AB84" i="9"/>
  <c r="AB83" i="9"/>
  <c r="AB82" i="9"/>
  <c r="AB81" i="9"/>
  <c r="AB80" i="9"/>
  <c r="AB79" i="9"/>
  <c r="AB78" i="9"/>
  <c r="AB77" i="9"/>
  <c r="AB76" i="9"/>
  <c r="AB75" i="9"/>
  <c r="AB74" i="9"/>
  <c r="AB73" i="9"/>
  <c r="AB72" i="9"/>
  <c r="AB71" i="9"/>
  <c r="AB70" i="9"/>
  <c r="AB67" i="9"/>
  <c r="AB66" i="9"/>
  <c r="AB65" i="9"/>
  <c r="AB64" i="9"/>
  <c r="AB63" i="9"/>
  <c r="AB62" i="9"/>
  <c r="AB61" i="9"/>
  <c r="AB60" i="9"/>
  <c r="AB59" i="9"/>
  <c r="AB58" i="9"/>
  <c r="AB57" i="9"/>
  <c r="AB56" i="9"/>
  <c r="AB55" i="9"/>
  <c r="AB54" i="9"/>
  <c r="AB53" i="9"/>
  <c r="AB52" i="9"/>
  <c r="AB51" i="9"/>
  <c r="AB50" i="9"/>
  <c r="AB49" i="9"/>
  <c r="AB48" i="9"/>
  <c r="AB47" i="9"/>
  <c r="AB44" i="9"/>
  <c r="AB43" i="9"/>
  <c r="AB42" i="9"/>
  <c r="AB41" i="9"/>
  <c r="AB40" i="9"/>
  <c r="AB39" i="9"/>
  <c r="AB38" i="9"/>
  <c r="AB37" i="9"/>
  <c r="AB36" i="9"/>
  <c r="AB35" i="9"/>
  <c r="AB34" i="9"/>
  <c r="AB33" i="9"/>
  <c r="AB32" i="9"/>
  <c r="AB31" i="9"/>
  <c r="AB30" i="9"/>
  <c r="AB29" i="9"/>
  <c r="AB26" i="9"/>
  <c r="AB25" i="9"/>
  <c r="AB24" i="9"/>
  <c r="AB23" i="9"/>
  <c r="AB22" i="9"/>
  <c r="AB21" i="9"/>
  <c r="AB20" i="9"/>
  <c r="AB19" i="9"/>
  <c r="AB18" i="9"/>
  <c r="AB17" i="9"/>
  <c r="AB16" i="9"/>
  <c r="AB15" i="9"/>
  <c r="AB14" i="9"/>
  <c r="AB13" i="9"/>
  <c r="AB12" i="9"/>
  <c r="AB11" i="9"/>
  <c r="AB10" i="9"/>
  <c r="AB9" i="9"/>
  <c r="AB8" i="9"/>
  <c r="AB7" i="9"/>
  <c r="AB6" i="9"/>
  <c r="AB146" i="9"/>
  <c r="AB126" i="9"/>
  <c r="W156" i="9"/>
  <c r="W170" i="9" s="1"/>
  <c r="AC3" i="9"/>
  <c r="AB172" i="9"/>
  <c r="Y169" i="9"/>
  <c r="AA154" i="4"/>
  <c r="AA155" i="4" s="1"/>
  <c r="AA154" i="9"/>
  <c r="AB153" i="4" s="1"/>
  <c r="W171" i="4" l="1"/>
  <c r="X170" i="4"/>
  <c r="Z168" i="9"/>
  <c r="AA169" i="4" s="1"/>
  <c r="AB89" i="4"/>
  <c r="AA155" i="9"/>
  <c r="BD27" i="4" a="1"/>
  <c r="BD27" i="4" s="1"/>
  <c r="BC27" i="4" a="1"/>
  <c r="BC27" i="4" s="1"/>
  <c r="AD168" i="4"/>
  <c r="AB90" i="9"/>
  <c r="AB99" i="9"/>
  <c r="AC98" i="4" s="1"/>
  <c r="AA171" i="9"/>
  <c r="AC254" i="4"/>
  <c r="AB123" i="9"/>
  <c r="AC122" i="4" s="1"/>
  <c r="AB154" i="9"/>
  <c r="AC153" i="4" s="1"/>
  <c r="AB45" i="9"/>
  <c r="AC44" i="4" s="1"/>
  <c r="AB68" i="9"/>
  <c r="AC67" i="4" s="1"/>
  <c r="AB105" i="9"/>
  <c r="AC104" i="4" s="1"/>
  <c r="AB113" i="9"/>
  <c r="AC112" i="4" s="1"/>
  <c r="AB139" i="9"/>
  <c r="AC138" i="4" s="1"/>
  <c r="AB27" i="9"/>
  <c r="AC26" i="4" s="1"/>
  <c r="AB132" i="9"/>
  <c r="AC131" i="4" s="1"/>
  <c r="Y157" i="4"/>
  <c r="Y174" i="4" s="1"/>
  <c r="AA173" i="4"/>
  <c r="AC156" i="4"/>
  <c r="AD160" i="4"/>
  <c r="AD161" i="4"/>
  <c r="AD162" i="4"/>
  <c r="AD163" i="4"/>
  <c r="AD164" i="4"/>
  <c r="AD165" i="4"/>
  <c r="AD166" i="4"/>
  <c r="AD167" i="4"/>
  <c r="AD152" i="4"/>
  <c r="AD151" i="4"/>
  <c r="AD150" i="4"/>
  <c r="AD149" i="4"/>
  <c r="AD148" i="4"/>
  <c r="AD147" i="4"/>
  <c r="AD146" i="4"/>
  <c r="AD145" i="4"/>
  <c r="AD144" i="4"/>
  <c r="AD143" i="4"/>
  <c r="AD142" i="4"/>
  <c r="AD141" i="4"/>
  <c r="AD140" i="4"/>
  <c r="AD137" i="4"/>
  <c r="AD136" i="4"/>
  <c r="AD135" i="4"/>
  <c r="AD134" i="4"/>
  <c r="AD133" i="4"/>
  <c r="AD130" i="4"/>
  <c r="AD129" i="4"/>
  <c r="AD128" i="4"/>
  <c r="AD127" i="4"/>
  <c r="AD126" i="4"/>
  <c r="AD125" i="4"/>
  <c r="AD124" i="4"/>
  <c r="AD121" i="4"/>
  <c r="AD120" i="4"/>
  <c r="AD119" i="4"/>
  <c r="AD118" i="4"/>
  <c r="AD117" i="4"/>
  <c r="AD116" i="4"/>
  <c r="AD115" i="4"/>
  <c r="AD114" i="4"/>
  <c r="AD111" i="4"/>
  <c r="AD110" i="4"/>
  <c r="AD109" i="4"/>
  <c r="AD108" i="4"/>
  <c r="AD107" i="4"/>
  <c r="AD106" i="4"/>
  <c r="AD103" i="4"/>
  <c r="AD102" i="4"/>
  <c r="AD101" i="4"/>
  <c r="AD100" i="4"/>
  <c r="AD97" i="4"/>
  <c r="AD96" i="4"/>
  <c r="AD95" i="4"/>
  <c r="AD94" i="4"/>
  <c r="AD93" i="4"/>
  <c r="AD92" i="4"/>
  <c r="AD91" i="4"/>
  <c r="AD88" i="4"/>
  <c r="AD87" i="4"/>
  <c r="AD86" i="4"/>
  <c r="AD85" i="4"/>
  <c r="AD84" i="4"/>
  <c r="AD83" i="4"/>
  <c r="AD82" i="4"/>
  <c r="AD81" i="4"/>
  <c r="AD80" i="4"/>
  <c r="AD79" i="4"/>
  <c r="AD78" i="4"/>
  <c r="AD77" i="4"/>
  <c r="AD76" i="4"/>
  <c r="AD75" i="4"/>
  <c r="AD74" i="4"/>
  <c r="AD73" i="4"/>
  <c r="AD72" i="4"/>
  <c r="AD71" i="4"/>
  <c r="AD70" i="4"/>
  <c r="AD69" i="4"/>
  <c r="AD66" i="4"/>
  <c r="AD65" i="4"/>
  <c r="AD64" i="4"/>
  <c r="AD63" i="4"/>
  <c r="AD62" i="4"/>
  <c r="AD61" i="4"/>
  <c r="AD60" i="4"/>
  <c r="AD59" i="4"/>
  <c r="AD58" i="4"/>
  <c r="AD57" i="4"/>
  <c r="AD56" i="4"/>
  <c r="AD55" i="4"/>
  <c r="AD54" i="4"/>
  <c r="AD53" i="4"/>
  <c r="AD52" i="4"/>
  <c r="AD51" i="4"/>
  <c r="AD50" i="4"/>
  <c r="AD49" i="4"/>
  <c r="AD48" i="4"/>
  <c r="AD47" i="4"/>
  <c r="AD46" i="4"/>
  <c r="AD43" i="4"/>
  <c r="AD42" i="4"/>
  <c r="AD41" i="4"/>
  <c r="AD40" i="4"/>
  <c r="AD39" i="4"/>
  <c r="AD38" i="4"/>
  <c r="AD37" i="4"/>
  <c r="AD36" i="4"/>
  <c r="AD35" i="4"/>
  <c r="AD34" i="4"/>
  <c r="AD33" i="4"/>
  <c r="AD32" i="4"/>
  <c r="AD31" i="4"/>
  <c r="AD30" i="4"/>
  <c r="AD29" i="4"/>
  <c r="AD28" i="4"/>
  <c r="AD2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5" i="4"/>
  <c r="AB1" i="9"/>
  <c r="AC1" i="4"/>
  <c r="AE2" i="4"/>
  <c r="AD256" i="4"/>
  <c r="AD255" i="4"/>
  <c r="AA2" i="9"/>
  <c r="AC167" i="9"/>
  <c r="AC166" i="9"/>
  <c r="AC165" i="9"/>
  <c r="AC164" i="9"/>
  <c r="AC163" i="9"/>
  <c r="AC162" i="9"/>
  <c r="AC161" i="9"/>
  <c r="AC160" i="9"/>
  <c r="AC159" i="9"/>
  <c r="AC153" i="9"/>
  <c r="AC152" i="9"/>
  <c r="AC151" i="9"/>
  <c r="AC150" i="9"/>
  <c r="AC149" i="9"/>
  <c r="AC148" i="9"/>
  <c r="AC147" i="9"/>
  <c r="AC145" i="9"/>
  <c r="AC144" i="9"/>
  <c r="AC143" i="9"/>
  <c r="AC142" i="9"/>
  <c r="AC141" i="9"/>
  <c r="AC138" i="9"/>
  <c r="AC137" i="9"/>
  <c r="AC136" i="9"/>
  <c r="AC135" i="9"/>
  <c r="AC134" i="9"/>
  <c r="AC131" i="9"/>
  <c r="AC130" i="9"/>
  <c r="AC129" i="9"/>
  <c r="AC128" i="9"/>
  <c r="AC127" i="9"/>
  <c r="AC125" i="9"/>
  <c r="AC122" i="9"/>
  <c r="AC121" i="9"/>
  <c r="AC120" i="9"/>
  <c r="AC119" i="9"/>
  <c r="AC118" i="9"/>
  <c r="AC117" i="9"/>
  <c r="AC116" i="9"/>
  <c r="AC115" i="9"/>
  <c r="AC112" i="9"/>
  <c r="AC111" i="9"/>
  <c r="AC110" i="9"/>
  <c r="AC109" i="9"/>
  <c r="AC108" i="9"/>
  <c r="AC107" i="9"/>
  <c r="AC104" i="9"/>
  <c r="AC103" i="9"/>
  <c r="AC102" i="9"/>
  <c r="AC101" i="9"/>
  <c r="AC98" i="9"/>
  <c r="AC97" i="9"/>
  <c r="AC96" i="9"/>
  <c r="AC95" i="9"/>
  <c r="AC94" i="9"/>
  <c r="AC93" i="9"/>
  <c r="AC92" i="9"/>
  <c r="AC89" i="9"/>
  <c r="AC88" i="9"/>
  <c r="AC87" i="9"/>
  <c r="AC86" i="9"/>
  <c r="AC85" i="9"/>
  <c r="AC84" i="9"/>
  <c r="AC83" i="9"/>
  <c r="AC82" i="9"/>
  <c r="AC81" i="9"/>
  <c r="AC80" i="9"/>
  <c r="AC79" i="9"/>
  <c r="AC78" i="9"/>
  <c r="AC77" i="9"/>
  <c r="AC76" i="9"/>
  <c r="AC75" i="9"/>
  <c r="AC74" i="9"/>
  <c r="AC73" i="9"/>
  <c r="AC72" i="9"/>
  <c r="AC71" i="9"/>
  <c r="AC70" i="9"/>
  <c r="AC67" i="9"/>
  <c r="AC66" i="9"/>
  <c r="AC65" i="9"/>
  <c r="AC64" i="9"/>
  <c r="AC63" i="9"/>
  <c r="AC62" i="9"/>
  <c r="AC61" i="9"/>
  <c r="AC60" i="9"/>
  <c r="AC59" i="9"/>
  <c r="AC58" i="9"/>
  <c r="AC57" i="9"/>
  <c r="AC56" i="9"/>
  <c r="AC55" i="9"/>
  <c r="AC54" i="9"/>
  <c r="AC53" i="9"/>
  <c r="AC52" i="9"/>
  <c r="AC51" i="9"/>
  <c r="AC50" i="9"/>
  <c r="AC49" i="9"/>
  <c r="AC48" i="9"/>
  <c r="AC47" i="9"/>
  <c r="AC44" i="9"/>
  <c r="AC43" i="9"/>
  <c r="AC42" i="9"/>
  <c r="AC41" i="9"/>
  <c r="AC40" i="9"/>
  <c r="AC39" i="9"/>
  <c r="AC38" i="9"/>
  <c r="AC37" i="9"/>
  <c r="AC36" i="9"/>
  <c r="AC35" i="9"/>
  <c r="AC34" i="9"/>
  <c r="AC33" i="9"/>
  <c r="AC32" i="9"/>
  <c r="AC31" i="9"/>
  <c r="AC30" i="9"/>
  <c r="AC29" i="9"/>
  <c r="AC26" i="9"/>
  <c r="AC25" i="9"/>
  <c r="AC24" i="9"/>
  <c r="AC23" i="9"/>
  <c r="AC22" i="9"/>
  <c r="AC21" i="9"/>
  <c r="AC20" i="9"/>
  <c r="AC19" i="9"/>
  <c r="AC18" i="9"/>
  <c r="AC17" i="9"/>
  <c r="AC16" i="9"/>
  <c r="AC15" i="9"/>
  <c r="AC14" i="9"/>
  <c r="AC13" i="9"/>
  <c r="AC12" i="9"/>
  <c r="AC11" i="9"/>
  <c r="AC10" i="9"/>
  <c r="AC9" i="9"/>
  <c r="AC8" i="9"/>
  <c r="AC7" i="9"/>
  <c r="AC6" i="9"/>
  <c r="AC146" i="9"/>
  <c r="AC126" i="9"/>
  <c r="X156" i="9"/>
  <c r="X170" i="9" s="1"/>
  <c r="AD3" i="9"/>
  <c r="AC172" i="9"/>
  <c r="Z169" i="9"/>
  <c r="AB154" i="4"/>
  <c r="AB155" i="4" s="1"/>
  <c r="X171" i="4" l="1"/>
  <c r="Y170" i="4"/>
  <c r="AA168" i="9"/>
  <c r="AB169" i="4" s="1"/>
  <c r="AC89" i="4"/>
  <c r="AB155" i="9"/>
  <c r="AE168" i="4"/>
  <c r="AB171" i="9"/>
  <c r="AC45" i="9"/>
  <c r="AD44" i="4" s="1"/>
  <c r="AC105" i="9"/>
  <c r="AD104" i="4" s="1"/>
  <c r="AC113" i="9"/>
  <c r="AD112" i="4" s="1"/>
  <c r="AC139" i="9"/>
  <c r="AD138" i="4" s="1"/>
  <c r="AD254" i="4"/>
  <c r="AC99" i="9"/>
  <c r="AD98" i="4" s="1"/>
  <c r="AC27" i="9"/>
  <c r="AD26" i="4" s="1"/>
  <c r="AC132" i="9"/>
  <c r="AD131" i="4" s="1"/>
  <c r="AC123" i="9"/>
  <c r="AD122" i="4" s="1"/>
  <c r="AC90" i="9"/>
  <c r="AC68" i="9"/>
  <c r="AD67" i="4" s="1"/>
  <c r="Z157" i="4"/>
  <c r="Z174" i="4" s="1"/>
  <c r="AB173" i="4"/>
  <c r="AD156" i="4"/>
  <c r="AE160" i="4"/>
  <c r="AE161" i="4"/>
  <c r="AE162" i="4"/>
  <c r="AE163" i="4"/>
  <c r="AE164" i="4"/>
  <c r="AE165" i="4"/>
  <c r="AE166" i="4"/>
  <c r="AE167" i="4"/>
  <c r="AE152" i="4"/>
  <c r="AE151" i="4"/>
  <c r="AE150" i="4"/>
  <c r="AE149" i="4"/>
  <c r="AE148" i="4"/>
  <c r="AE147" i="4"/>
  <c r="AE146" i="4"/>
  <c r="AE145" i="4"/>
  <c r="AE144" i="4"/>
  <c r="AE143" i="4"/>
  <c r="AE142" i="4"/>
  <c r="AE141" i="4"/>
  <c r="AE140" i="4"/>
  <c r="AE137" i="4"/>
  <c r="AE136" i="4"/>
  <c r="AE135" i="4"/>
  <c r="AE134" i="4"/>
  <c r="AE133" i="4"/>
  <c r="AE130" i="4"/>
  <c r="AE129" i="4"/>
  <c r="AE128" i="4"/>
  <c r="AE127" i="4"/>
  <c r="AE126" i="4"/>
  <c r="AE125" i="4"/>
  <c r="AE124" i="4"/>
  <c r="AE121" i="4"/>
  <c r="AE120" i="4"/>
  <c r="AE119" i="4"/>
  <c r="AE118" i="4"/>
  <c r="AE117" i="4"/>
  <c r="AE116" i="4"/>
  <c r="AE115" i="4"/>
  <c r="AE114" i="4"/>
  <c r="AE111" i="4"/>
  <c r="AE110" i="4"/>
  <c r="AE109" i="4"/>
  <c r="AE108" i="4"/>
  <c r="AE107" i="4"/>
  <c r="AE106" i="4"/>
  <c r="AE103" i="4"/>
  <c r="AE102" i="4"/>
  <c r="AE101" i="4"/>
  <c r="AE100" i="4"/>
  <c r="AE97" i="4"/>
  <c r="AE96" i="4"/>
  <c r="AE95" i="4"/>
  <c r="AE94" i="4"/>
  <c r="AE93" i="4"/>
  <c r="AE92" i="4"/>
  <c r="AE91" i="4"/>
  <c r="AE88" i="4"/>
  <c r="AE87" i="4"/>
  <c r="AE86" i="4"/>
  <c r="AE85" i="4"/>
  <c r="AE84" i="4"/>
  <c r="AE83" i="4"/>
  <c r="AE82" i="4"/>
  <c r="AE81" i="4"/>
  <c r="AE80" i="4"/>
  <c r="AE79" i="4"/>
  <c r="AE78" i="4"/>
  <c r="AE77" i="4"/>
  <c r="AE76" i="4"/>
  <c r="AE75" i="4"/>
  <c r="AE74" i="4"/>
  <c r="AE73" i="4"/>
  <c r="AE72" i="4"/>
  <c r="AE71" i="4"/>
  <c r="AE70" i="4"/>
  <c r="AE69" i="4"/>
  <c r="AE66" i="4"/>
  <c r="AE65" i="4"/>
  <c r="AE64" i="4"/>
  <c r="AE63" i="4"/>
  <c r="AE62" i="4"/>
  <c r="AE61" i="4"/>
  <c r="AE60" i="4"/>
  <c r="AE59" i="4"/>
  <c r="AE58" i="4"/>
  <c r="AE57" i="4"/>
  <c r="AE56" i="4"/>
  <c r="AE55" i="4"/>
  <c r="AE54" i="4"/>
  <c r="AE53" i="4"/>
  <c r="AE52" i="4"/>
  <c r="AE51" i="4"/>
  <c r="AE50" i="4"/>
  <c r="AE49" i="4"/>
  <c r="AE48" i="4"/>
  <c r="AE47" i="4"/>
  <c r="AE46" i="4"/>
  <c r="AE43" i="4"/>
  <c r="AE42" i="4"/>
  <c r="AE41" i="4"/>
  <c r="AE40" i="4"/>
  <c r="AE39" i="4"/>
  <c r="AE38" i="4"/>
  <c r="AE37" i="4"/>
  <c r="AE36" i="4"/>
  <c r="AE35" i="4"/>
  <c r="AE34" i="4"/>
  <c r="AE33" i="4"/>
  <c r="AE32" i="4"/>
  <c r="AE31" i="4"/>
  <c r="AE30" i="4"/>
  <c r="AE29" i="4"/>
  <c r="AE28" i="4"/>
  <c r="AE2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5" i="4"/>
  <c r="AC1" i="9"/>
  <c r="AD1" i="4"/>
  <c r="AF2" i="4"/>
  <c r="AE256" i="4"/>
  <c r="AE255" i="4"/>
  <c r="AB2" i="9"/>
  <c r="AD167" i="9"/>
  <c r="AD166" i="9"/>
  <c r="AD165" i="9"/>
  <c r="AD164" i="9"/>
  <c r="AD163" i="9"/>
  <c r="AD162" i="9"/>
  <c r="AD161" i="9"/>
  <c r="AD160" i="9"/>
  <c r="AD159" i="9"/>
  <c r="AD153" i="9"/>
  <c r="AD152" i="9"/>
  <c r="AD151" i="9"/>
  <c r="AD150" i="9"/>
  <c r="AD149" i="9"/>
  <c r="AD148" i="9"/>
  <c r="AD147" i="9"/>
  <c r="AD145" i="9"/>
  <c r="AD144" i="9"/>
  <c r="AD143" i="9"/>
  <c r="AD142" i="9"/>
  <c r="AD141" i="9"/>
  <c r="AD138" i="9"/>
  <c r="AD137" i="9"/>
  <c r="AD136" i="9"/>
  <c r="AD135" i="9"/>
  <c r="AD134" i="9"/>
  <c r="AD131" i="9"/>
  <c r="AD130" i="9"/>
  <c r="AD129" i="9"/>
  <c r="AD128" i="9"/>
  <c r="AD127" i="9"/>
  <c r="AD125" i="9"/>
  <c r="AD122" i="9"/>
  <c r="AD121" i="9"/>
  <c r="AD120" i="9"/>
  <c r="AD119" i="9"/>
  <c r="AD118" i="9"/>
  <c r="AD117" i="9"/>
  <c r="AD116" i="9"/>
  <c r="AD115" i="9"/>
  <c r="AD112" i="9"/>
  <c r="AD111" i="9"/>
  <c r="AD110" i="9"/>
  <c r="AD109" i="9"/>
  <c r="AD108" i="9"/>
  <c r="AD107" i="9"/>
  <c r="AD104" i="9"/>
  <c r="AD103" i="9"/>
  <c r="AD102" i="9"/>
  <c r="AD101" i="9"/>
  <c r="AD98" i="9"/>
  <c r="AD97" i="9"/>
  <c r="AD96" i="9"/>
  <c r="AD95" i="9"/>
  <c r="AD94" i="9"/>
  <c r="AD93" i="9"/>
  <c r="AD92" i="9"/>
  <c r="AD89" i="9"/>
  <c r="AD88" i="9"/>
  <c r="AD87" i="9"/>
  <c r="AD86" i="9"/>
  <c r="AD85" i="9"/>
  <c r="AD84" i="9"/>
  <c r="AD83" i="9"/>
  <c r="AD82" i="9"/>
  <c r="AD81" i="9"/>
  <c r="AD80" i="9"/>
  <c r="AD79" i="9"/>
  <c r="AD78" i="9"/>
  <c r="AD77" i="9"/>
  <c r="AD76" i="9"/>
  <c r="AD75" i="9"/>
  <c r="AD74" i="9"/>
  <c r="AD73" i="9"/>
  <c r="AD72" i="9"/>
  <c r="AD71" i="9"/>
  <c r="AD70" i="9"/>
  <c r="AD67" i="9"/>
  <c r="AD66" i="9"/>
  <c r="AD65" i="9"/>
  <c r="AD64" i="9"/>
  <c r="AD63" i="9"/>
  <c r="AD62" i="9"/>
  <c r="AD61" i="9"/>
  <c r="AD60" i="9"/>
  <c r="AD59" i="9"/>
  <c r="AD58" i="9"/>
  <c r="AD57" i="9"/>
  <c r="AD56" i="9"/>
  <c r="AD55" i="9"/>
  <c r="AD54" i="9"/>
  <c r="AD53" i="9"/>
  <c r="AD52" i="9"/>
  <c r="AD51" i="9"/>
  <c r="AD50" i="9"/>
  <c r="AD49" i="9"/>
  <c r="AD48" i="9"/>
  <c r="AD47" i="9"/>
  <c r="AD44" i="9"/>
  <c r="AD43" i="9"/>
  <c r="AD42" i="9"/>
  <c r="AD41" i="9"/>
  <c r="AD40" i="9"/>
  <c r="AD39" i="9"/>
  <c r="AD38" i="9"/>
  <c r="AD37" i="9"/>
  <c r="AD36" i="9"/>
  <c r="AD35" i="9"/>
  <c r="AD34" i="9"/>
  <c r="AD33" i="9"/>
  <c r="AD32" i="9"/>
  <c r="AD31" i="9"/>
  <c r="AD30" i="9"/>
  <c r="AD29" i="9"/>
  <c r="AD26" i="9"/>
  <c r="AD25" i="9"/>
  <c r="AD24" i="9"/>
  <c r="AD23" i="9"/>
  <c r="AD22" i="9"/>
  <c r="AD21" i="9"/>
  <c r="AD20" i="9"/>
  <c r="AD19" i="9"/>
  <c r="AD18" i="9"/>
  <c r="AD17" i="9"/>
  <c r="AD16" i="9"/>
  <c r="AD15" i="9"/>
  <c r="AD14" i="9"/>
  <c r="AD13" i="9"/>
  <c r="AD12" i="9"/>
  <c r="AD11" i="9"/>
  <c r="AD10" i="9"/>
  <c r="AD9" i="9"/>
  <c r="AD8" i="9"/>
  <c r="AD7" i="9"/>
  <c r="AD6" i="9"/>
  <c r="AD146" i="9"/>
  <c r="AD126" i="9"/>
  <c r="Y156" i="9"/>
  <c r="Y170" i="9" s="1"/>
  <c r="AE3" i="9"/>
  <c r="AD172" i="9"/>
  <c r="AA169" i="9"/>
  <c r="AC154" i="4"/>
  <c r="AC155" i="4" s="1"/>
  <c r="AC154" i="9"/>
  <c r="AD153" i="4" s="1"/>
  <c r="Y171" i="4" l="1"/>
  <c r="Z170" i="4"/>
  <c r="AB168" i="9"/>
  <c r="AC169" i="4" s="1"/>
  <c r="AD89" i="4"/>
  <c r="AC155" i="9"/>
  <c r="AF168" i="4"/>
  <c r="AC171" i="9"/>
  <c r="AE254" i="4"/>
  <c r="AD132" i="9"/>
  <c r="AE131" i="4" s="1"/>
  <c r="AD45" i="9"/>
  <c r="AE44" i="4" s="1"/>
  <c r="AD105" i="9"/>
  <c r="AE104" i="4" s="1"/>
  <c r="AD113" i="9"/>
  <c r="AE112" i="4" s="1"/>
  <c r="AD139" i="9"/>
  <c r="AE138" i="4" s="1"/>
  <c r="AD154" i="9"/>
  <c r="AE153" i="4" s="1"/>
  <c r="AD123" i="9"/>
  <c r="AE122" i="4" s="1"/>
  <c r="AD99" i="9"/>
  <c r="AE98" i="4" s="1"/>
  <c r="AD90" i="9"/>
  <c r="AD68" i="9"/>
  <c r="AE67" i="4" s="1"/>
  <c r="AD27" i="9"/>
  <c r="AE26" i="4" s="1"/>
  <c r="AA157" i="4"/>
  <c r="AA174" i="4" s="1"/>
  <c r="AC173" i="4"/>
  <c r="AE156" i="4"/>
  <c r="AF160" i="4"/>
  <c r="AF161" i="4"/>
  <c r="AF162" i="4"/>
  <c r="AF163" i="4"/>
  <c r="AF164" i="4"/>
  <c r="AF165" i="4"/>
  <c r="AF166" i="4"/>
  <c r="AF167" i="4"/>
  <c r="AF152" i="4"/>
  <c r="AF151" i="4"/>
  <c r="AF150" i="4"/>
  <c r="AF149" i="4"/>
  <c r="AF148" i="4"/>
  <c r="AF147" i="4"/>
  <c r="AF146" i="4"/>
  <c r="AF145" i="4"/>
  <c r="AF144" i="4"/>
  <c r="AF143" i="4"/>
  <c r="AF142" i="4"/>
  <c r="AF141" i="4"/>
  <c r="AF140" i="4"/>
  <c r="AF137" i="4"/>
  <c r="AF136" i="4"/>
  <c r="AF135" i="4"/>
  <c r="AF134" i="4"/>
  <c r="AF133" i="4"/>
  <c r="AF130" i="4"/>
  <c r="AF129" i="4"/>
  <c r="AF128" i="4"/>
  <c r="AF127" i="4"/>
  <c r="AF126" i="4"/>
  <c r="AF125" i="4"/>
  <c r="AF124" i="4"/>
  <c r="AF121" i="4"/>
  <c r="AF120" i="4"/>
  <c r="AF119" i="4"/>
  <c r="AF118" i="4"/>
  <c r="AF117" i="4"/>
  <c r="AF116" i="4"/>
  <c r="AF115" i="4"/>
  <c r="AF114" i="4"/>
  <c r="AF111" i="4"/>
  <c r="AF110" i="4"/>
  <c r="AF109" i="4"/>
  <c r="AF108" i="4"/>
  <c r="AF107" i="4"/>
  <c r="AF106" i="4"/>
  <c r="AF103" i="4"/>
  <c r="AF102" i="4"/>
  <c r="AF101" i="4"/>
  <c r="AF100" i="4"/>
  <c r="AF97" i="4"/>
  <c r="AF96" i="4"/>
  <c r="AF95" i="4"/>
  <c r="AF94" i="4"/>
  <c r="AF93" i="4"/>
  <c r="AF92" i="4"/>
  <c r="AF91" i="4"/>
  <c r="AF88" i="4"/>
  <c r="AF87" i="4"/>
  <c r="AF86" i="4"/>
  <c r="AF85" i="4"/>
  <c r="AF84" i="4"/>
  <c r="AF83" i="4"/>
  <c r="AF82" i="4"/>
  <c r="AF81" i="4"/>
  <c r="AF80" i="4"/>
  <c r="AF79" i="4"/>
  <c r="AF78" i="4"/>
  <c r="AF77" i="4"/>
  <c r="AF76" i="4"/>
  <c r="AF75" i="4"/>
  <c r="AF74" i="4"/>
  <c r="AF73" i="4"/>
  <c r="AF72" i="4"/>
  <c r="AF71" i="4"/>
  <c r="AF70" i="4"/>
  <c r="AF69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5" i="4"/>
  <c r="AD1" i="9"/>
  <c r="AE1" i="4"/>
  <c r="AG2" i="4"/>
  <c r="AF256" i="4"/>
  <c r="AF255" i="4"/>
  <c r="AC2" i="9"/>
  <c r="AE167" i="9"/>
  <c r="AE166" i="9"/>
  <c r="AE165" i="9"/>
  <c r="AE164" i="9"/>
  <c r="AE163" i="9"/>
  <c r="AE162" i="9"/>
  <c r="AE161" i="9"/>
  <c r="AE160" i="9"/>
  <c r="AE159" i="9"/>
  <c r="AE153" i="9"/>
  <c r="AE152" i="9"/>
  <c r="AE151" i="9"/>
  <c r="AE150" i="9"/>
  <c r="AE149" i="9"/>
  <c r="AE148" i="9"/>
  <c r="AE147" i="9"/>
  <c r="AE145" i="9"/>
  <c r="AE144" i="9"/>
  <c r="AE143" i="9"/>
  <c r="AE142" i="9"/>
  <c r="AE141" i="9"/>
  <c r="AE138" i="9"/>
  <c r="AE137" i="9"/>
  <c r="AE136" i="9"/>
  <c r="AE135" i="9"/>
  <c r="AE134" i="9"/>
  <c r="AE131" i="9"/>
  <c r="AE130" i="9"/>
  <c r="AE129" i="9"/>
  <c r="AE128" i="9"/>
  <c r="AE127" i="9"/>
  <c r="AE125" i="9"/>
  <c r="AE122" i="9"/>
  <c r="AE121" i="9"/>
  <c r="AE120" i="9"/>
  <c r="AE119" i="9"/>
  <c r="AE118" i="9"/>
  <c r="AE117" i="9"/>
  <c r="AE116" i="9"/>
  <c r="AE115" i="9"/>
  <c r="AE112" i="9"/>
  <c r="AE111" i="9"/>
  <c r="AE110" i="9"/>
  <c r="AE109" i="9"/>
  <c r="AE108" i="9"/>
  <c r="AE107" i="9"/>
  <c r="AE104" i="9"/>
  <c r="AE103" i="9"/>
  <c r="AE102" i="9"/>
  <c r="AE101" i="9"/>
  <c r="AE98" i="9"/>
  <c r="AE97" i="9"/>
  <c r="AE96" i="9"/>
  <c r="AE95" i="9"/>
  <c r="AE94" i="9"/>
  <c r="AE93" i="9"/>
  <c r="AE92" i="9"/>
  <c r="AE89" i="9"/>
  <c r="AE88" i="9"/>
  <c r="AE87" i="9"/>
  <c r="AE86" i="9"/>
  <c r="AE85" i="9"/>
  <c r="AE84" i="9"/>
  <c r="AE83" i="9"/>
  <c r="AE82" i="9"/>
  <c r="AE81" i="9"/>
  <c r="AE80" i="9"/>
  <c r="AE79" i="9"/>
  <c r="AE78" i="9"/>
  <c r="AE77" i="9"/>
  <c r="AE76" i="9"/>
  <c r="AE75" i="9"/>
  <c r="AE74" i="9"/>
  <c r="AE73" i="9"/>
  <c r="AE72" i="9"/>
  <c r="AE71" i="9"/>
  <c r="AE70" i="9"/>
  <c r="AE67" i="9"/>
  <c r="AE66" i="9"/>
  <c r="AE65" i="9"/>
  <c r="AE64" i="9"/>
  <c r="AE63" i="9"/>
  <c r="AE62" i="9"/>
  <c r="AE61" i="9"/>
  <c r="AE60" i="9"/>
  <c r="AE59" i="9"/>
  <c r="AE58" i="9"/>
  <c r="AE57" i="9"/>
  <c r="AE56" i="9"/>
  <c r="AE55" i="9"/>
  <c r="AE54" i="9"/>
  <c r="AE53" i="9"/>
  <c r="AE52" i="9"/>
  <c r="AE51" i="9"/>
  <c r="AE50" i="9"/>
  <c r="AE49" i="9"/>
  <c r="AE48" i="9"/>
  <c r="AE47" i="9"/>
  <c r="AE44" i="9"/>
  <c r="AE43" i="9"/>
  <c r="AE42" i="9"/>
  <c r="AE41" i="9"/>
  <c r="AE40" i="9"/>
  <c r="AE39" i="9"/>
  <c r="AE38" i="9"/>
  <c r="AE37" i="9"/>
  <c r="AE36" i="9"/>
  <c r="AE35" i="9"/>
  <c r="AE34" i="9"/>
  <c r="AE33" i="9"/>
  <c r="AE32" i="9"/>
  <c r="AE31" i="9"/>
  <c r="AE30" i="9"/>
  <c r="AE29" i="9"/>
  <c r="AE26" i="9"/>
  <c r="AE25" i="9"/>
  <c r="AE24" i="9"/>
  <c r="AE23" i="9"/>
  <c r="AE22" i="9"/>
  <c r="AE21" i="9"/>
  <c r="AE20" i="9"/>
  <c r="AE19" i="9"/>
  <c r="AE18" i="9"/>
  <c r="AE17" i="9"/>
  <c r="AE16" i="9"/>
  <c r="AE15" i="9"/>
  <c r="AE14" i="9"/>
  <c r="AE13" i="9"/>
  <c r="AE12" i="9"/>
  <c r="AE11" i="9"/>
  <c r="AE10" i="9"/>
  <c r="AE9" i="9"/>
  <c r="AE8" i="9"/>
  <c r="AE7" i="9"/>
  <c r="AE6" i="9"/>
  <c r="AE146" i="9"/>
  <c r="AE126" i="9"/>
  <c r="Z156" i="9"/>
  <c r="Z170" i="9" s="1"/>
  <c r="AF3" i="9"/>
  <c r="AE172" i="9"/>
  <c r="AB169" i="9"/>
  <c r="AD154" i="4"/>
  <c r="AD155" i="4" s="1"/>
  <c r="Z171" i="4" l="1"/>
  <c r="AA170" i="4"/>
  <c r="AC168" i="9"/>
  <c r="AD169" i="4" s="1"/>
  <c r="AE89" i="4"/>
  <c r="AD155" i="9"/>
  <c r="AG168" i="4"/>
  <c r="AD171" i="9"/>
  <c r="AF254" i="4"/>
  <c r="AE45" i="9"/>
  <c r="AF44" i="4" s="1"/>
  <c r="AE105" i="9"/>
  <c r="AF104" i="4" s="1"/>
  <c r="AE113" i="9"/>
  <c r="AF112" i="4" s="1"/>
  <c r="AE139" i="9"/>
  <c r="AF138" i="4" s="1"/>
  <c r="AE132" i="9"/>
  <c r="AF131" i="4" s="1"/>
  <c r="AE123" i="9"/>
  <c r="AF122" i="4" s="1"/>
  <c r="AE99" i="9"/>
  <c r="AF98" i="4" s="1"/>
  <c r="AE90" i="9"/>
  <c r="AE68" i="9"/>
  <c r="AF67" i="4" s="1"/>
  <c r="AE27" i="9"/>
  <c r="AF26" i="4" s="1"/>
  <c r="AB157" i="4"/>
  <c r="AB174" i="4" s="1"/>
  <c r="AD173" i="4"/>
  <c r="AF156" i="4"/>
  <c r="AG160" i="4"/>
  <c r="AG161" i="4"/>
  <c r="AG162" i="4"/>
  <c r="AG163" i="4"/>
  <c r="AG164" i="4"/>
  <c r="AG165" i="4"/>
  <c r="AG166" i="4"/>
  <c r="AG167" i="4"/>
  <c r="AG152" i="4"/>
  <c r="AG151" i="4"/>
  <c r="AG150" i="4"/>
  <c r="AG149" i="4"/>
  <c r="AG148" i="4"/>
  <c r="AG147" i="4"/>
  <c r="AG146" i="4"/>
  <c r="AG145" i="4"/>
  <c r="AG144" i="4"/>
  <c r="AG143" i="4"/>
  <c r="AG142" i="4"/>
  <c r="AG141" i="4"/>
  <c r="AG140" i="4"/>
  <c r="AG137" i="4"/>
  <c r="AG136" i="4"/>
  <c r="AG135" i="4"/>
  <c r="AG134" i="4"/>
  <c r="AG133" i="4"/>
  <c r="AG130" i="4"/>
  <c r="AG129" i="4"/>
  <c r="AG128" i="4"/>
  <c r="AG127" i="4"/>
  <c r="AG126" i="4"/>
  <c r="AG125" i="4"/>
  <c r="AG124" i="4"/>
  <c r="AG121" i="4"/>
  <c r="AG120" i="4"/>
  <c r="AG119" i="4"/>
  <c r="AG118" i="4"/>
  <c r="AG117" i="4"/>
  <c r="AG116" i="4"/>
  <c r="AG115" i="4"/>
  <c r="AG114" i="4"/>
  <c r="AG111" i="4"/>
  <c r="AG110" i="4"/>
  <c r="AG109" i="4"/>
  <c r="AG108" i="4"/>
  <c r="AG107" i="4"/>
  <c r="AG106" i="4"/>
  <c r="AG103" i="4"/>
  <c r="AG102" i="4"/>
  <c r="AG101" i="4"/>
  <c r="AG100" i="4"/>
  <c r="AG97" i="4"/>
  <c r="AG96" i="4"/>
  <c r="AG95" i="4"/>
  <c r="AG94" i="4"/>
  <c r="AG93" i="4"/>
  <c r="AG92" i="4"/>
  <c r="AG91" i="4"/>
  <c r="AG88" i="4"/>
  <c r="AG87" i="4"/>
  <c r="AG86" i="4"/>
  <c r="AG85" i="4"/>
  <c r="AG84" i="4"/>
  <c r="AG83" i="4"/>
  <c r="AG82" i="4"/>
  <c r="AG81" i="4"/>
  <c r="AG80" i="4"/>
  <c r="AG79" i="4"/>
  <c r="AG78" i="4"/>
  <c r="AG77" i="4"/>
  <c r="AG76" i="4"/>
  <c r="AG75" i="4"/>
  <c r="AG74" i="4"/>
  <c r="AG73" i="4"/>
  <c r="AG72" i="4"/>
  <c r="AG71" i="4"/>
  <c r="AG70" i="4"/>
  <c r="AG69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AG2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5" i="4"/>
  <c r="AE1" i="9"/>
  <c r="AF1" i="4"/>
  <c r="AH2" i="4"/>
  <c r="AG256" i="4"/>
  <c r="AG255" i="4"/>
  <c r="AD2" i="9"/>
  <c r="AF167" i="9"/>
  <c r="AF166" i="9"/>
  <c r="AF165" i="9"/>
  <c r="AF164" i="9"/>
  <c r="AF163" i="9"/>
  <c r="AF162" i="9"/>
  <c r="AF161" i="9"/>
  <c r="AF160" i="9"/>
  <c r="AF159" i="9"/>
  <c r="AF153" i="9"/>
  <c r="AF152" i="9"/>
  <c r="AF151" i="9"/>
  <c r="AF150" i="9"/>
  <c r="AF149" i="9"/>
  <c r="AF148" i="9"/>
  <c r="AF147" i="9"/>
  <c r="AF145" i="9"/>
  <c r="AF144" i="9"/>
  <c r="AF143" i="9"/>
  <c r="AF142" i="9"/>
  <c r="AF141" i="9"/>
  <c r="AF138" i="9"/>
  <c r="AF137" i="9"/>
  <c r="AF136" i="9"/>
  <c r="AF135" i="9"/>
  <c r="AF134" i="9"/>
  <c r="AF131" i="9"/>
  <c r="AF130" i="9"/>
  <c r="AF129" i="9"/>
  <c r="AF128" i="9"/>
  <c r="AF127" i="9"/>
  <c r="AF125" i="9"/>
  <c r="AF122" i="9"/>
  <c r="AF121" i="9"/>
  <c r="AF120" i="9"/>
  <c r="AF119" i="9"/>
  <c r="AF118" i="9"/>
  <c r="AF117" i="9"/>
  <c r="AF116" i="9"/>
  <c r="AF115" i="9"/>
  <c r="AF112" i="9"/>
  <c r="AF111" i="9"/>
  <c r="AF110" i="9"/>
  <c r="AF109" i="9"/>
  <c r="AF108" i="9"/>
  <c r="AF107" i="9"/>
  <c r="AF104" i="9"/>
  <c r="AF103" i="9"/>
  <c r="AF102" i="9"/>
  <c r="AF101" i="9"/>
  <c r="AF98" i="9"/>
  <c r="AF97" i="9"/>
  <c r="AF96" i="9"/>
  <c r="AF95" i="9"/>
  <c r="AF94" i="9"/>
  <c r="AF93" i="9"/>
  <c r="AF92" i="9"/>
  <c r="AF89" i="9"/>
  <c r="AF88" i="9"/>
  <c r="AF87" i="9"/>
  <c r="AF86" i="9"/>
  <c r="AF85" i="9"/>
  <c r="AF84" i="9"/>
  <c r="AF83" i="9"/>
  <c r="AF82" i="9"/>
  <c r="AF81" i="9"/>
  <c r="AF80" i="9"/>
  <c r="AF79" i="9"/>
  <c r="AF78" i="9"/>
  <c r="AF77" i="9"/>
  <c r="AF76" i="9"/>
  <c r="AF75" i="9"/>
  <c r="AF74" i="9"/>
  <c r="AF73" i="9"/>
  <c r="AF72" i="9"/>
  <c r="AF71" i="9"/>
  <c r="AF70" i="9"/>
  <c r="AF67" i="9"/>
  <c r="AF66" i="9"/>
  <c r="AF65" i="9"/>
  <c r="AF64" i="9"/>
  <c r="AF63" i="9"/>
  <c r="AF62" i="9"/>
  <c r="AF61" i="9"/>
  <c r="AF60" i="9"/>
  <c r="AF59" i="9"/>
  <c r="AF58" i="9"/>
  <c r="AF57" i="9"/>
  <c r="AF56" i="9"/>
  <c r="AF55" i="9"/>
  <c r="AF54" i="9"/>
  <c r="AF53" i="9"/>
  <c r="AF52" i="9"/>
  <c r="AF51" i="9"/>
  <c r="AF50" i="9"/>
  <c r="AF49" i="9"/>
  <c r="AF48" i="9"/>
  <c r="AF47" i="9"/>
  <c r="AF44" i="9"/>
  <c r="AF43" i="9"/>
  <c r="AF42" i="9"/>
  <c r="AF41" i="9"/>
  <c r="AF40" i="9"/>
  <c r="AF39" i="9"/>
  <c r="AF38" i="9"/>
  <c r="AF37" i="9"/>
  <c r="AF36" i="9"/>
  <c r="AF35" i="9"/>
  <c r="AF34" i="9"/>
  <c r="AF33" i="9"/>
  <c r="AF32" i="9"/>
  <c r="AF31" i="9"/>
  <c r="AF30" i="9"/>
  <c r="AF29" i="9"/>
  <c r="AF26" i="9"/>
  <c r="AF25" i="9"/>
  <c r="AF24" i="9"/>
  <c r="AF23" i="9"/>
  <c r="AF22" i="9"/>
  <c r="AF21" i="9"/>
  <c r="AF20" i="9"/>
  <c r="AF19" i="9"/>
  <c r="AF18" i="9"/>
  <c r="AF17" i="9"/>
  <c r="AF16" i="9"/>
  <c r="AF15" i="9"/>
  <c r="AF14" i="9"/>
  <c r="AF13" i="9"/>
  <c r="AF12" i="9"/>
  <c r="AF11" i="9"/>
  <c r="AF10" i="9"/>
  <c r="AF9" i="9"/>
  <c r="AF8" i="9"/>
  <c r="AF7" i="9"/>
  <c r="AF6" i="9"/>
  <c r="AF146" i="9"/>
  <c r="AF126" i="9"/>
  <c r="AA156" i="9"/>
  <c r="AA170" i="9" s="1"/>
  <c r="AG3" i="9"/>
  <c r="AF172" i="9"/>
  <c r="AC169" i="9"/>
  <c r="AE154" i="4"/>
  <c r="AE155" i="4" s="1"/>
  <c r="AE154" i="9"/>
  <c r="AF153" i="4" s="1"/>
  <c r="AA171" i="4" l="1"/>
  <c r="AB170" i="4"/>
  <c r="AD168" i="9"/>
  <c r="AE169" i="4" s="1"/>
  <c r="AF89" i="4"/>
  <c r="AE155" i="9"/>
  <c r="AH168" i="4"/>
  <c r="AE171" i="9"/>
  <c r="AG254" i="4"/>
  <c r="AF45" i="9"/>
  <c r="AG44" i="4" s="1"/>
  <c r="AF105" i="9"/>
  <c r="AG104" i="4" s="1"/>
  <c r="AF113" i="9"/>
  <c r="AG112" i="4" s="1"/>
  <c r="AF139" i="9"/>
  <c r="AG138" i="4" s="1"/>
  <c r="AF154" i="9"/>
  <c r="AG153" i="4" s="1"/>
  <c r="AF132" i="9"/>
  <c r="AG131" i="4" s="1"/>
  <c r="AF123" i="9"/>
  <c r="AG122" i="4" s="1"/>
  <c r="AF99" i="9"/>
  <c r="AG98" i="4" s="1"/>
  <c r="AF90" i="9"/>
  <c r="AF68" i="9"/>
  <c r="AG67" i="4" s="1"/>
  <c r="AF27" i="9"/>
  <c r="AG26" i="4" s="1"/>
  <c r="AC157" i="4"/>
  <c r="AC174" i="4" s="1"/>
  <c r="AE173" i="4"/>
  <c r="AG156" i="4"/>
  <c r="AH160" i="4"/>
  <c r="AH161" i="4"/>
  <c r="AH162" i="4"/>
  <c r="AH163" i="4"/>
  <c r="AH164" i="4"/>
  <c r="AH165" i="4"/>
  <c r="AH166" i="4"/>
  <c r="AH167" i="4"/>
  <c r="AH152" i="4"/>
  <c r="AH151" i="4"/>
  <c r="AH150" i="4"/>
  <c r="AH149" i="4"/>
  <c r="AH148" i="4"/>
  <c r="AH147" i="4"/>
  <c r="AH146" i="4"/>
  <c r="AH145" i="4"/>
  <c r="AH144" i="4"/>
  <c r="AH143" i="4"/>
  <c r="AH142" i="4"/>
  <c r="AH141" i="4"/>
  <c r="AH140" i="4"/>
  <c r="AH137" i="4"/>
  <c r="AH136" i="4"/>
  <c r="AH135" i="4"/>
  <c r="AH134" i="4"/>
  <c r="AH133" i="4"/>
  <c r="AH130" i="4"/>
  <c r="AH129" i="4"/>
  <c r="AH128" i="4"/>
  <c r="AH127" i="4"/>
  <c r="AH126" i="4"/>
  <c r="AH125" i="4"/>
  <c r="AH124" i="4"/>
  <c r="AH121" i="4"/>
  <c r="AH120" i="4"/>
  <c r="AH119" i="4"/>
  <c r="AH118" i="4"/>
  <c r="AH117" i="4"/>
  <c r="AH116" i="4"/>
  <c r="AH115" i="4"/>
  <c r="AH114" i="4"/>
  <c r="AH111" i="4"/>
  <c r="AH110" i="4"/>
  <c r="AH109" i="4"/>
  <c r="AH108" i="4"/>
  <c r="AH107" i="4"/>
  <c r="AH106" i="4"/>
  <c r="AH103" i="4"/>
  <c r="AH102" i="4"/>
  <c r="AH101" i="4"/>
  <c r="AH100" i="4"/>
  <c r="AH97" i="4"/>
  <c r="AH96" i="4"/>
  <c r="AH95" i="4"/>
  <c r="AH94" i="4"/>
  <c r="AH93" i="4"/>
  <c r="AH92" i="4"/>
  <c r="AH91" i="4"/>
  <c r="AH88" i="4"/>
  <c r="AH87" i="4"/>
  <c r="AH86" i="4"/>
  <c r="AH85" i="4"/>
  <c r="AH84" i="4"/>
  <c r="AH83" i="4"/>
  <c r="AH82" i="4"/>
  <c r="AH81" i="4"/>
  <c r="AH80" i="4"/>
  <c r="AH79" i="4"/>
  <c r="AH78" i="4"/>
  <c r="AH77" i="4"/>
  <c r="AH76" i="4"/>
  <c r="AH75" i="4"/>
  <c r="AH74" i="4"/>
  <c r="AH73" i="4"/>
  <c r="AH72" i="4"/>
  <c r="AH71" i="4"/>
  <c r="AH70" i="4"/>
  <c r="AH69" i="4"/>
  <c r="AH66" i="4"/>
  <c r="AH65" i="4"/>
  <c r="AH64" i="4"/>
  <c r="AH63" i="4"/>
  <c r="AH62" i="4"/>
  <c r="AH61" i="4"/>
  <c r="AH60" i="4"/>
  <c r="AH59" i="4"/>
  <c r="AH58" i="4"/>
  <c r="AH57" i="4"/>
  <c r="AH56" i="4"/>
  <c r="AH55" i="4"/>
  <c r="AH54" i="4"/>
  <c r="AH53" i="4"/>
  <c r="AH52" i="4"/>
  <c r="AH51" i="4"/>
  <c r="AH50" i="4"/>
  <c r="AH49" i="4"/>
  <c r="AH48" i="4"/>
  <c r="AH47" i="4"/>
  <c r="AH46" i="4"/>
  <c r="AH43" i="4"/>
  <c r="AH42" i="4"/>
  <c r="AH41" i="4"/>
  <c r="AH40" i="4"/>
  <c r="AH39" i="4"/>
  <c r="AH38" i="4"/>
  <c r="AH37" i="4"/>
  <c r="AH36" i="4"/>
  <c r="AH35" i="4"/>
  <c r="AH34" i="4"/>
  <c r="AH33" i="4"/>
  <c r="AH32" i="4"/>
  <c r="AH31" i="4"/>
  <c r="AH30" i="4"/>
  <c r="AH29" i="4"/>
  <c r="AH28" i="4"/>
  <c r="AH2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5" i="4"/>
  <c r="AF1" i="9"/>
  <c r="AF2" i="9" s="1"/>
  <c r="AG1" i="4"/>
  <c r="AI2" i="4"/>
  <c r="AH256" i="4"/>
  <c r="AH255" i="4"/>
  <c r="AE2" i="9"/>
  <c r="AG167" i="9"/>
  <c r="AG166" i="9"/>
  <c r="AG165" i="9"/>
  <c r="AG164" i="9"/>
  <c r="AG163" i="9"/>
  <c r="AG162" i="9"/>
  <c r="AG161" i="9"/>
  <c r="AG160" i="9"/>
  <c r="AG159" i="9"/>
  <c r="AG153" i="9"/>
  <c r="AG152" i="9"/>
  <c r="AG151" i="9"/>
  <c r="AG150" i="9"/>
  <c r="AG149" i="9"/>
  <c r="AG148" i="9"/>
  <c r="AG147" i="9"/>
  <c r="AG145" i="9"/>
  <c r="AG144" i="9"/>
  <c r="AG143" i="9"/>
  <c r="AG142" i="9"/>
  <c r="AG141" i="9"/>
  <c r="AG138" i="9"/>
  <c r="AG137" i="9"/>
  <c r="AG136" i="9"/>
  <c r="AG135" i="9"/>
  <c r="AG134" i="9"/>
  <c r="AG131" i="9"/>
  <c r="AG130" i="9"/>
  <c r="AG129" i="9"/>
  <c r="AG128" i="9"/>
  <c r="AG127" i="9"/>
  <c r="AG125" i="9"/>
  <c r="AG122" i="9"/>
  <c r="AG121" i="9"/>
  <c r="AG120" i="9"/>
  <c r="AG119" i="9"/>
  <c r="AG118" i="9"/>
  <c r="AG117" i="9"/>
  <c r="AG116" i="9"/>
  <c r="AG115" i="9"/>
  <c r="AG112" i="9"/>
  <c r="AG111" i="9"/>
  <c r="AG110" i="9"/>
  <c r="AG109" i="9"/>
  <c r="AG108" i="9"/>
  <c r="AG107" i="9"/>
  <c r="AG104" i="9"/>
  <c r="AG103" i="9"/>
  <c r="AG102" i="9"/>
  <c r="AG101" i="9"/>
  <c r="AG98" i="9"/>
  <c r="AG97" i="9"/>
  <c r="AG96" i="9"/>
  <c r="AG95" i="9"/>
  <c r="AG94" i="9"/>
  <c r="AG93" i="9"/>
  <c r="AG92" i="9"/>
  <c r="AG89" i="9"/>
  <c r="AG88" i="9"/>
  <c r="AG87" i="9"/>
  <c r="AG86" i="9"/>
  <c r="AG85" i="9"/>
  <c r="AG84" i="9"/>
  <c r="AG83" i="9"/>
  <c r="AG82" i="9"/>
  <c r="AG81" i="9"/>
  <c r="AG80" i="9"/>
  <c r="AG79" i="9"/>
  <c r="AG78" i="9"/>
  <c r="AG77" i="9"/>
  <c r="AG76" i="9"/>
  <c r="AG75" i="9"/>
  <c r="AG74" i="9"/>
  <c r="AG73" i="9"/>
  <c r="AG72" i="9"/>
  <c r="AG71" i="9"/>
  <c r="AG70" i="9"/>
  <c r="AG67" i="9"/>
  <c r="AG66" i="9"/>
  <c r="AG65" i="9"/>
  <c r="AG64" i="9"/>
  <c r="AG63" i="9"/>
  <c r="AG62" i="9"/>
  <c r="AG61" i="9"/>
  <c r="AG60" i="9"/>
  <c r="AG59" i="9"/>
  <c r="AG58" i="9"/>
  <c r="AG57" i="9"/>
  <c r="AG56" i="9"/>
  <c r="AG55" i="9"/>
  <c r="AG54" i="9"/>
  <c r="AG53" i="9"/>
  <c r="AG52" i="9"/>
  <c r="AG51" i="9"/>
  <c r="AG50" i="9"/>
  <c r="AG49" i="9"/>
  <c r="AG48" i="9"/>
  <c r="AG47" i="9"/>
  <c r="AG44" i="9"/>
  <c r="AG43" i="9"/>
  <c r="AG42" i="9"/>
  <c r="AG41" i="9"/>
  <c r="AG40" i="9"/>
  <c r="AG39" i="9"/>
  <c r="AG38" i="9"/>
  <c r="AG37" i="9"/>
  <c r="AG36" i="9"/>
  <c r="AG35" i="9"/>
  <c r="AG34" i="9"/>
  <c r="AG33" i="9"/>
  <c r="AG32" i="9"/>
  <c r="AG31" i="9"/>
  <c r="AG30" i="9"/>
  <c r="AG29" i="9"/>
  <c r="AG26" i="9"/>
  <c r="AG25" i="9"/>
  <c r="AG24" i="9"/>
  <c r="AG23" i="9"/>
  <c r="AG22" i="9"/>
  <c r="AG21" i="9"/>
  <c r="AG20" i="9"/>
  <c r="AG19" i="9"/>
  <c r="AG18" i="9"/>
  <c r="AG17" i="9"/>
  <c r="AG16" i="9"/>
  <c r="AG15" i="9"/>
  <c r="AG14" i="9"/>
  <c r="AG13" i="9"/>
  <c r="AG12" i="9"/>
  <c r="AG11" i="9"/>
  <c r="AG10" i="9"/>
  <c r="AG9" i="9"/>
  <c r="AG8" i="9"/>
  <c r="AG7" i="9"/>
  <c r="AG6" i="9"/>
  <c r="AG146" i="9"/>
  <c r="AG126" i="9"/>
  <c r="AB156" i="9"/>
  <c r="AB170" i="9" s="1"/>
  <c r="AH3" i="9"/>
  <c r="AG172" i="9"/>
  <c r="AD169" i="9"/>
  <c r="AF154" i="4"/>
  <c r="AF155" i="4" s="1"/>
  <c r="AB171" i="4" l="1"/>
  <c r="AC170" i="4"/>
  <c r="AE168" i="9"/>
  <c r="AF169" i="4" s="1"/>
  <c r="AG89" i="4"/>
  <c r="AF155" i="9"/>
  <c r="AI168" i="4"/>
  <c r="AF171" i="9"/>
  <c r="AH254" i="4"/>
  <c r="AG123" i="9"/>
  <c r="AH122" i="4" s="1"/>
  <c r="AG105" i="9"/>
  <c r="AH104" i="4" s="1"/>
  <c r="AG113" i="9"/>
  <c r="AH112" i="4" s="1"/>
  <c r="AG139" i="9"/>
  <c r="AH138" i="4" s="1"/>
  <c r="AG45" i="9"/>
  <c r="AH44" i="4" s="1"/>
  <c r="AG132" i="9"/>
  <c r="AH131" i="4" s="1"/>
  <c r="AG99" i="9"/>
  <c r="AH98" i="4" s="1"/>
  <c r="AG90" i="9"/>
  <c r="AG68" i="9"/>
  <c r="AH67" i="4" s="1"/>
  <c r="AG27" i="9"/>
  <c r="AD157" i="4"/>
  <c r="AD174" i="4" s="1"/>
  <c r="AF173" i="4"/>
  <c r="AH156" i="4"/>
  <c r="AI160" i="4"/>
  <c r="AI161" i="4"/>
  <c r="AI162" i="4"/>
  <c r="AI163" i="4"/>
  <c r="AI164" i="4"/>
  <c r="AI165" i="4"/>
  <c r="AI166" i="4"/>
  <c r="AI167" i="4"/>
  <c r="AI152" i="4"/>
  <c r="AI151" i="4"/>
  <c r="AI150" i="4"/>
  <c r="AI149" i="4"/>
  <c r="AI148" i="4"/>
  <c r="AI147" i="4"/>
  <c r="AI146" i="4"/>
  <c r="AI145" i="4"/>
  <c r="AI144" i="4"/>
  <c r="AI143" i="4"/>
  <c r="AI142" i="4"/>
  <c r="AI141" i="4"/>
  <c r="AI140" i="4"/>
  <c r="AI137" i="4"/>
  <c r="AI136" i="4"/>
  <c r="AI135" i="4"/>
  <c r="AI134" i="4"/>
  <c r="AI133" i="4"/>
  <c r="AI130" i="4"/>
  <c r="AI129" i="4"/>
  <c r="AI128" i="4"/>
  <c r="AI127" i="4"/>
  <c r="AI126" i="4"/>
  <c r="AI125" i="4"/>
  <c r="AI124" i="4"/>
  <c r="AI121" i="4"/>
  <c r="AI120" i="4"/>
  <c r="AI119" i="4"/>
  <c r="AI118" i="4"/>
  <c r="AI117" i="4"/>
  <c r="AI116" i="4"/>
  <c r="AI115" i="4"/>
  <c r="AI114" i="4"/>
  <c r="AI111" i="4"/>
  <c r="AI110" i="4"/>
  <c r="AI109" i="4"/>
  <c r="AI108" i="4"/>
  <c r="AI107" i="4"/>
  <c r="AI106" i="4"/>
  <c r="AI103" i="4"/>
  <c r="AI102" i="4"/>
  <c r="AI101" i="4"/>
  <c r="AI100" i="4"/>
  <c r="AI97" i="4"/>
  <c r="AI96" i="4"/>
  <c r="AI95" i="4"/>
  <c r="AI94" i="4"/>
  <c r="AI93" i="4"/>
  <c r="AI92" i="4"/>
  <c r="AI91" i="4"/>
  <c r="AI88" i="4"/>
  <c r="AI87" i="4"/>
  <c r="AI86" i="4"/>
  <c r="AI85" i="4"/>
  <c r="AI84" i="4"/>
  <c r="AI83" i="4"/>
  <c r="AI82" i="4"/>
  <c r="AI81" i="4"/>
  <c r="AI80" i="4"/>
  <c r="AI79" i="4"/>
  <c r="AI78" i="4"/>
  <c r="AI77" i="4"/>
  <c r="AI76" i="4"/>
  <c r="AI75" i="4"/>
  <c r="AI74" i="4"/>
  <c r="AI73" i="4"/>
  <c r="AI72" i="4"/>
  <c r="AI71" i="4"/>
  <c r="AI70" i="4"/>
  <c r="AI69" i="4"/>
  <c r="AI66" i="4"/>
  <c r="AI65" i="4"/>
  <c r="AI64" i="4"/>
  <c r="AI63" i="4"/>
  <c r="AI62" i="4"/>
  <c r="AI61" i="4"/>
  <c r="AI60" i="4"/>
  <c r="AI59" i="4"/>
  <c r="AI58" i="4"/>
  <c r="AI57" i="4"/>
  <c r="AI56" i="4"/>
  <c r="AI55" i="4"/>
  <c r="AI54" i="4"/>
  <c r="AI53" i="4"/>
  <c r="AI52" i="4"/>
  <c r="AI51" i="4"/>
  <c r="AI50" i="4"/>
  <c r="AI49" i="4"/>
  <c r="AI48" i="4"/>
  <c r="AI47" i="4"/>
  <c r="AI46" i="4"/>
  <c r="AI43" i="4"/>
  <c r="AI42" i="4"/>
  <c r="AI41" i="4"/>
  <c r="AI40" i="4"/>
  <c r="AI39" i="4"/>
  <c r="AI38" i="4"/>
  <c r="AI37" i="4"/>
  <c r="AI36" i="4"/>
  <c r="AI35" i="4"/>
  <c r="AI34" i="4"/>
  <c r="AI33" i="4"/>
  <c r="AI32" i="4"/>
  <c r="AI31" i="4"/>
  <c r="AI30" i="4"/>
  <c r="AI29" i="4"/>
  <c r="AI28" i="4"/>
  <c r="AI2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5" i="4"/>
  <c r="AG1" i="9"/>
  <c r="AG2" i="9" s="1"/>
  <c r="AH1" i="4"/>
  <c r="AJ2" i="4"/>
  <c r="AI256" i="4"/>
  <c r="AI255" i="4"/>
  <c r="AH167" i="9"/>
  <c r="AH166" i="9"/>
  <c r="AH165" i="9"/>
  <c r="AH164" i="9"/>
  <c r="AH163" i="9"/>
  <c r="AH162" i="9"/>
  <c r="AH161" i="9"/>
  <c r="AH160" i="9"/>
  <c r="AH159" i="9"/>
  <c r="AH153" i="9"/>
  <c r="AH152" i="9"/>
  <c r="AH151" i="9"/>
  <c r="AH150" i="9"/>
  <c r="AH149" i="9"/>
  <c r="AH148" i="9"/>
  <c r="AH147" i="9"/>
  <c r="AH145" i="9"/>
  <c r="AH144" i="9"/>
  <c r="AH143" i="9"/>
  <c r="AH142" i="9"/>
  <c r="AH141" i="9"/>
  <c r="AH138" i="9"/>
  <c r="AH137" i="9"/>
  <c r="AH136" i="9"/>
  <c r="AH135" i="9"/>
  <c r="AH134" i="9"/>
  <c r="AH131" i="9"/>
  <c r="AH130" i="9"/>
  <c r="AH129" i="9"/>
  <c r="AH128" i="9"/>
  <c r="AH127" i="9"/>
  <c r="AH125" i="9"/>
  <c r="AH122" i="9"/>
  <c r="AH121" i="9"/>
  <c r="AH120" i="9"/>
  <c r="AH119" i="9"/>
  <c r="AH118" i="9"/>
  <c r="AH117" i="9"/>
  <c r="AH116" i="9"/>
  <c r="AH115" i="9"/>
  <c r="AH112" i="9"/>
  <c r="AH111" i="9"/>
  <c r="AH110" i="9"/>
  <c r="AH109" i="9"/>
  <c r="AH108" i="9"/>
  <c r="AH107" i="9"/>
  <c r="AH104" i="9"/>
  <c r="AH103" i="9"/>
  <c r="AH102" i="9"/>
  <c r="AH101" i="9"/>
  <c r="AH98" i="9"/>
  <c r="AH97" i="9"/>
  <c r="AH96" i="9"/>
  <c r="AH95" i="9"/>
  <c r="AH94" i="9"/>
  <c r="AH93" i="9"/>
  <c r="AH92" i="9"/>
  <c r="AH89" i="9"/>
  <c r="AH88" i="9"/>
  <c r="AH87" i="9"/>
  <c r="AH86" i="9"/>
  <c r="AH85" i="9"/>
  <c r="AH84" i="9"/>
  <c r="AH83" i="9"/>
  <c r="AH82" i="9"/>
  <c r="AH81" i="9"/>
  <c r="AH80" i="9"/>
  <c r="AH79" i="9"/>
  <c r="AH78" i="9"/>
  <c r="AH77" i="9"/>
  <c r="AH76" i="9"/>
  <c r="AH75" i="9"/>
  <c r="AH74" i="9"/>
  <c r="AH73" i="9"/>
  <c r="AH72" i="9"/>
  <c r="AH71" i="9"/>
  <c r="AH70" i="9"/>
  <c r="AH67" i="9"/>
  <c r="AH66" i="9"/>
  <c r="AH65" i="9"/>
  <c r="AH64" i="9"/>
  <c r="AH63" i="9"/>
  <c r="AH62" i="9"/>
  <c r="AH61" i="9"/>
  <c r="AH60" i="9"/>
  <c r="AH59" i="9"/>
  <c r="AH58" i="9"/>
  <c r="AH57" i="9"/>
  <c r="AH56" i="9"/>
  <c r="AH55" i="9"/>
  <c r="AH54" i="9"/>
  <c r="AH53" i="9"/>
  <c r="AH52" i="9"/>
  <c r="AH51" i="9"/>
  <c r="AH50" i="9"/>
  <c r="AH49" i="9"/>
  <c r="AH48" i="9"/>
  <c r="AH47" i="9"/>
  <c r="AH44" i="9"/>
  <c r="AH43" i="9"/>
  <c r="AH42" i="9"/>
  <c r="AH41" i="9"/>
  <c r="AH40" i="9"/>
  <c r="AH39" i="9"/>
  <c r="AH38" i="9"/>
  <c r="AH37" i="9"/>
  <c r="AH36" i="9"/>
  <c r="AH35" i="9"/>
  <c r="AH34" i="9"/>
  <c r="AH33" i="9"/>
  <c r="AH32" i="9"/>
  <c r="AH31" i="9"/>
  <c r="AH30" i="9"/>
  <c r="AH29" i="9"/>
  <c r="AH26" i="9"/>
  <c r="AH25" i="9"/>
  <c r="AH24" i="9"/>
  <c r="AH23" i="9"/>
  <c r="AH22" i="9"/>
  <c r="AH21" i="9"/>
  <c r="AH20" i="9"/>
  <c r="AH19" i="9"/>
  <c r="AH18" i="9"/>
  <c r="AH17" i="9"/>
  <c r="AH16" i="9"/>
  <c r="AH15" i="9"/>
  <c r="AH14" i="9"/>
  <c r="AH13" i="9"/>
  <c r="AH12" i="9"/>
  <c r="AH11" i="9"/>
  <c r="AH10" i="9"/>
  <c r="AH9" i="9"/>
  <c r="AH8" i="9"/>
  <c r="AH7" i="9"/>
  <c r="AH6" i="9"/>
  <c r="AH146" i="9"/>
  <c r="AH126" i="9"/>
  <c r="AC156" i="9"/>
  <c r="AC170" i="9" s="1"/>
  <c r="AI3" i="9"/>
  <c r="AH172" i="9"/>
  <c r="AE169" i="9"/>
  <c r="AG154" i="4"/>
  <c r="AG155" i="4" s="1"/>
  <c r="AH26" i="4"/>
  <c r="AG154" i="9"/>
  <c r="AH153" i="4" s="1"/>
  <c r="AC171" i="4" l="1"/>
  <c r="AD170" i="4"/>
  <c r="AF168" i="9"/>
  <c r="AG169" i="4" s="1"/>
  <c r="AH89" i="4"/>
  <c r="AG155" i="9"/>
  <c r="AJ168" i="4"/>
  <c r="AG171" i="9"/>
  <c r="AI254" i="4"/>
  <c r="AH45" i="9"/>
  <c r="AI44" i="4" s="1"/>
  <c r="AH105" i="9"/>
  <c r="AI104" i="4" s="1"/>
  <c r="AH113" i="9"/>
  <c r="AI112" i="4" s="1"/>
  <c r="AH139" i="9"/>
  <c r="AI138" i="4" s="1"/>
  <c r="AH154" i="9"/>
  <c r="AI153" i="4" s="1"/>
  <c r="AH132" i="9"/>
  <c r="AI131" i="4" s="1"/>
  <c r="AH123" i="9"/>
  <c r="AI122" i="4" s="1"/>
  <c r="AH99" i="9"/>
  <c r="AI98" i="4" s="1"/>
  <c r="AH90" i="9"/>
  <c r="AH68" i="9"/>
  <c r="AI67" i="4" s="1"/>
  <c r="AH27" i="9"/>
  <c r="AI26" i="4" s="1"/>
  <c r="AE157" i="4"/>
  <c r="AE174" i="4" s="1"/>
  <c r="AG173" i="4"/>
  <c r="AI156" i="4"/>
  <c r="AJ160" i="4"/>
  <c r="AJ161" i="4"/>
  <c r="AJ162" i="4"/>
  <c r="AJ163" i="4"/>
  <c r="AJ164" i="4"/>
  <c r="AJ165" i="4"/>
  <c r="AJ166" i="4"/>
  <c r="AJ167" i="4"/>
  <c r="AJ152" i="4"/>
  <c r="AJ151" i="4"/>
  <c r="AJ150" i="4"/>
  <c r="AJ149" i="4"/>
  <c r="AJ148" i="4"/>
  <c r="AJ147" i="4"/>
  <c r="AJ146" i="4"/>
  <c r="AJ145" i="4"/>
  <c r="AJ144" i="4"/>
  <c r="AJ143" i="4"/>
  <c r="AJ142" i="4"/>
  <c r="AJ141" i="4"/>
  <c r="AJ140" i="4"/>
  <c r="AJ137" i="4"/>
  <c r="AJ136" i="4"/>
  <c r="AJ135" i="4"/>
  <c r="AJ134" i="4"/>
  <c r="AJ133" i="4"/>
  <c r="AJ130" i="4"/>
  <c r="AJ129" i="4"/>
  <c r="AJ128" i="4"/>
  <c r="AJ127" i="4"/>
  <c r="AJ126" i="4"/>
  <c r="AJ125" i="4"/>
  <c r="AJ124" i="4"/>
  <c r="AJ121" i="4"/>
  <c r="AJ120" i="4"/>
  <c r="AJ119" i="4"/>
  <c r="AJ118" i="4"/>
  <c r="AJ117" i="4"/>
  <c r="AJ116" i="4"/>
  <c r="AJ115" i="4"/>
  <c r="AJ114" i="4"/>
  <c r="AJ111" i="4"/>
  <c r="AJ110" i="4"/>
  <c r="AJ109" i="4"/>
  <c r="AJ108" i="4"/>
  <c r="AJ107" i="4"/>
  <c r="AJ106" i="4"/>
  <c r="AJ103" i="4"/>
  <c r="AJ102" i="4"/>
  <c r="AJ101" i="4"/>
  <c r="AJ100" i="4"/>
  <c r="AJ97" i="4"/>
  <c r="AJ96" i="4"/>
  <c r="AJ95" i="4"/>
  <c r="AJ94" i="4"/>
  <c r="AJ93" i="4"/>
  <c r="AJ92" i="4"/>
  <c r="AJ91" i="4"/>
  <c r="AJ88" i="4"/>
  <c r="AJ87" i="4"/>
  <c r="AJ86" i="4"/>
  <c r="AJ85" i="4"/>
  <c r="AJ84" i="4"/>
  <c r="AJ83" i="4"/>
  <c r="AJ82" i="4"/>
  <c r="AJ81" i="4"/>
  <c r="AJ80" i="4"/>
  <c r="AJ79" i="4"/>
  <c r="AJ78" i="4"/>
  <c r="AJ77" i="4"/>
  <c r="AJ76" i="4"/>
  <c r="AJ75" i="4"/>
  <c r="AJ74" i="4"/>
  <c r="AJ73" i="4"/>
  <c r="AJ72" i="4"/>
  <c r="AJ71" i="4"/>
  <c r="AJ70" i="4"/>
  <c r="AJ69" i="4"/>
  <c r="AJ66" i="4"/>
  <c r="AJ65" i="4"/>
  <c r="AJ64" i="4"/>
  <c r="AJ63" i="4"/>
  <c r="AJ62" i="4"/>
  <c r="AJ61" i="4"/>
  <c r="AJ60" i="4"/>
  <c r="AJ59" i="4"/>
  <c r="AJ58" i="4"/>
  <c r="AJ57" i="4"/>
  <c r="AJ56" i="4"/>
  <c r="AJ55" i="4"/>
  <c r="AJ54" i="4"/>
  <c r="AJ53" i="4"/>
  <c r="AJ52" i="4"/>
  <c r="AJ51" i="4"/>
  <c r="AJ50" i="4"/>
  <c r="AJ49" i="4"/>
  <c r="AJ48" i="4"/>
  <c r="AJ47" i="4"/>
  <c r="AJ46" i="4"/>
  <c r="AJ43" i="4"/>
  <c r="AJ42" i="4"/>
  <c r="AJ41" i="4"/>
  <c r="AJ40" i="4"/>
  <c r="AJ39" i="4"/>
  <c r="AJ38" i="4"/>
  <c r="AJ37" i="4"/>
  <c r="AJ36" i="4"/>
  <c r="AJ35" i="4"/>
  <c r="AJ34" i="4"/>
  <c r="AJ33" i="4"/>
  <c r="AJ32" i="4"/>
  <c r="AJ31" i="4"/>
  <c r="AJ30" i="4"/>
  <c r="AJ29" i="4"/>
  <c r="AJ28" i="4"/>
  <c r="AJ2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5" i="4"/>
  <c r="AH1" i="9"/>
  <c r="AH2" i="9" s="1"/>
  <c r="AI1" i="4"/>
  <c r="AK2" i="4"/>
  <c r="AJ256" i="4"/>
  <c r="AJ255" i="4"/>
  <c r="AI167" i="9"/>
  <c r="AI166" i="9"/>
  <c r="AI165" i="9"/>
  <c r="AI164" i="9"/>
  <c r="AI163" i="9"/>
  <c r="AI162" i="9"/>
  <c r="AI161" i="9"/>
  <c r="AI160" i="9"/>
  <c r="AI159" i="9"/>
  <c r="AI153" i="9"/>
  <c r="AI152" i="9"/>
  <c r="AI151" i="9"/>
  <c r="AI150" i="9"/>
  <c r="AI149" i="9"/>
  <c r="AI148" i="9"/>
  <c r="AI147" i="9"/>
  <c r="AI145" i="9"/>
  <c r="AI144" i="9"/>
  <c r="AI143" i="9"/>
  <c r="AI142" i="9"/>
  <c r="AI141" i="9"/>
  <c r="AI138" i="9"/>
  <c r="AI137" i="9"/>
  <c r="AI136" i="9"/>
  <c r="AI135" i="9"/>
  <c r="AI134" i="9"/>
  <c r="AI131" i="9"/>
  <c r="AI130" i="9"/>
  <c r="AI129" i="9"/>
  <c r="AI128" i="9"/>
  <c r="AI127" i="9"/>
  <c r="AI125" i="9"/>
  <c r="AI122" i="9"/>
  <c r="AI121" i="9"/>
  <c r="AI120" i="9"/>
  <c r="AI119" i="9"/>
  <c r="AI118" i="9"/>
  <c r="AI117" i="9"/>
  <c r="AI116" i="9"/>
  <c r="AI115" i="9"/>
  <c r="AI112" i="9"/>
  <c r="AI111" i="9"/>
  <c r="AI110" i="9"/>
  <c r="AI109" i="9"/>
  <c r="AI108" i="9"/>
  <c r="AI107" i="9"/>
  <c r="AI104" i="9"/>
  <c r="AI103" i="9"/>
  <c r="AI102" i="9"/>
  <c r="AI101" i="9"/>
  <c r="AI98" i="9"/>
  <c r="AI97" i="9"/>
  <c r="AI96" i="9"/>
  <c r="AI95" i="9"/>
  <c r="AI94" i="9"/>
  <c r="AI93" i="9"/>
  <c r="AI92" i="9"/>
  <c r="AI89" i="9"/>
  <c r="AI88" i="9"/>
  <c r="AI87" i="9"/>
  <c r="AI86" i="9"/>
  <c r="AI85" i="9"/>
  <c r="AI84" i="9"/>
  <c r="AI83" i="9"/>
  <c r="AI82" i="9"/>
  <c r="AI81" i="9"/>
  <c r="AI80" i="9"/>
  <c r="AI79" i="9"/>
  <c r="AI78" i="9"/>
  <c r="AI77" i="9"/>
  <c r="AI76" i="9"/>
  <c r="AI75" i="9"/>
  <c r="AI74" i="9"/>
  <c r="AI73" i="9"/>
  <c r="AI72" i="9"/>
  <c r="AI71" i="9"/>
  <c r="AI70" i="9"/>
  <c r="AI67" i="9"/>
  <c r="AI66" i="9"/>
  <c r="AI65" i="9"/>
  <c r="AI64" i="9"/>
  <c r="AI63" i="9"/>
  <c r="AI62" i="9"/>
  <c r="AI61" i="9"/>
  <c r="AI60" i="9"/>
  <c r="AI59" i="9"/>
  <c r="AI58" i="9"/>
  <c r="AI57" i="9"/>
  <c r="AI56" i="9"/>
  <c r="AI55" i="9"/>
  <c r="AI54" i="9"/>
  <c r="AI53" i="9"/>
  <c r="AI52" i="9"/>
  <c r="AI51" i="9"/>
  <c r="AI50" i="9"/>
  <c r="AI49" i="9"/>
  <c r="AI48" i="9"/>
  <c r="AI47" i="9"/>
  <c r="AI44" i="9"/>
  <c r="AI43" i="9"/>
  <c r="AI42" i="9"/>
  <c r="AI41" i="9"/>
  <c r="AI40" i="9"/>
  <c r="AI39" i="9"/>
  <c r="AI38" i="9"/>
  <c r="AI37" i="9"/>
  <c r="AI36" i="9"/>
  <c r="AI35" i="9"/>
  <c r="AI34" i="9"/>
  <c r="AI33" i="9"/>
  <c r="AI32" i="9"/>
  <c r="AI31" i="9"/>
  <c r="AI30" i="9"/>
  <c r="AI29" i="9"/>
  <c r="AI26" i="9"/>
  <c r="AI25" i="9"/>
  <c r="AI24" i="9"/>
  <c r="AI23" i="9"/>
  <c r="AI22" i="9"/>
  <c r="AI21" i="9"/>
  <c r="AI20" i="9"/>
  <c r="AI19" i="9"/>
  <c r="AI18" i="9"/>
  <c r="AI17" i="9"/>
  <c r="AI16" i="9"/>
  <c r="AI15" i="9"/>
  <c r="AI14" i="9"/>
  <c r="AI13" i="9"/>
  <c r="AI12" i="9"/>
  <c r="AI11" i="9"/>
  <c r="AI10" i="9"/>
  <c r="AI9" i="9"/>
  <c r="AI8" i="9"/>
  <c r="AI7" i="9"/>
  <c r="AI6" i="9"/>
  <c r="AI146" i="9"/>
  <c r="AI126" i="9"/>
  <c r="AD156" i="9"/>
  <c r="AD170" i="9" s="1"/>
  <c r="AJ3" i="9"/>
  <c r="AI172" i="9"/>
  <c r="AF169" i="9"/>
  <c r="AH154" i="4"/>
  <c r="AH155" i="4" s="1"/>
  <c r="AD171" i="4" l="1"/>
  <c r="AE170" i="4"/>
  <c r="AG168" i="9"/>
  <c r="AH169" i="4" s="1"/>
  <c r="AI89" i="4"/>
  <c r="AH155" i="9"/>
  <c r="AK168" i="4"/>
  <c r="BK29" i="4"/>
  <c r="AH171" i="9"/>
  <c r="AJ254" i="4"/>
  <c r="AI45" i="9"/>
  <c r="AJ44" i="4" s="1"/>
  <c r="AI105" i="9"/>
  <c r="AJ104" i="4" s="1"/>
  <c r="AI113" i="9"/>
  <c r="AJ112" i="4" s="1"/>
  <c r="AI139" i="9"/>
  <c r="AJ138" i="4" s="1"/>
  <c r="AI132" i="9"/>
  <c r="AJ131" i="4" s="1"/>
  <c r="AI123" i="9"/>
  <c r="AJ122" i="4" s="1"/>
  <c r="AI99" i="9"/>
  <c r="AJ98" i="4" s="1"/>
  <c r="AI90" i="9"/>
  <c r="AI68" i="9"/>
  <c r="AJ67" i="4" s="1"/>
  <c r="AI27" i="9"/>
  <c r="AF157" i="4"/>
  <c r="AF174" i="4" s="1"/>
  <c r="AH173" i="4"/>
  <c r="AJ156" i="4"/>
  <c r="AK160" i="4"/>
  <c r="AK161" i="4"/>
  <c r="AK162" i="4"/>
  <c r="AK163" i="4"/>
  <c r="AK164" i="4"/>
  <c r="AK165" i="4"/>
  <c r="AK166" i="4"/>
  <c r="AK167" i="4"/>
  <c r="AK152" i="4"/>
  <c r="AK151" i="4"/>
  <c r="AK150" i="4"/>
  <c r="AK149" i="4"/>
  <c r="AK148" i="4"/>
  <c r="AK147" i="4"/>
  <c r="AK146" i="4"/>
  <c r="AK145" i="4"/>
  <c r="AK144" i="4"/>
  <c r="AK143" i="4"/>
  <c r="AK142" i="4"/>
  <c r="AK141" i="4"/>
  <c r="AK140" i="4"/>
  <c r="AK137" i="4"/>
  <c r="AK136" i="4"/>
  <c r="AK135" i="4"/>
  <c r="AK134" i="4"/>
  <c r="AK133" i="4"/>
  <c r="AK130" i="4"/>
  <c r="AK129" i="4"/>
  <c r="AK128" i="4"/>
  <c r="AK127" i="4"/>
  <c r="AK126" i="4"/>
  <c r="AK125" i="4"/>
  <c r="AK124" i="4"/>
  <c r="AK121" i="4"/>
  <c r="AK120" i="4"/>
  <c r="AK119" i="4"/>
  <c r="AK118" i="4"/>
  <c r="AK117" i="4"/>
  <c r="AK116" i="4"/>
  <c r="AK115" i="4"/>
  <c r="AK114" i="4"/>
  <c r="AK111" i="4"/>
  <c r="AK110" i="4"/>
  <c r="AK109" i="4"/>
  <c r="AK108" i="4"/>
  <c r="AK107" i="4"/>
  <c r="AK106" i="4"/>
  <c r="AK103" i="4"/>
  <c r="AK102" i="4"/>
  <c r="AK101" i="4"/>
  <c r="AK100" i="4"/>
  <c r="AK97" i="4"/>
  <c r="AK96" i="4"/>
  <c r="AK95" i="4"/>
  <c r="AK94" i="4"/>
  <c r="AK93" i="4"/>
  <c r="AK92" i="4"/>
  <c r="AK91" i="4"/>
  <c r="AK88" i="4"/>
  <c r="AK87" i="4"/>
  <c r="AK86" i="4"/>
  <c r="AK85" i="4"/>
  <c r="AK84" i="4"/>
  <c r="AK83" i="4"/>
  <c r="AK82" i="4"/>
  <c r="AK81" i="4"/>
  <c r="AK80" i="4"/>
  <c r="AK79" i="4"/>
  <c r="AK78" i="4"/>
  <c r="AK77" i="4"/>
  <c r="AK76" i="4"/>
  <c r="AK75" i="4"/>
  <c r="AK74" i="4"/>
  <c r="AK73" i="4"/>
  <c r="AK72" i="4"/>
  <c r="AK71" i="4"/>
  <c r="AK70" i="4"/>
  <c r="AK69" i="4"/>
  <c r="AK66" i="4"/>
  <c r="AK65" i="4"/>
  <c r="AK64" i="4"/>
  <c r="AK63" i="4"/>
  <c r="AK62" i="4"/>
  <c r="AK61" i="4"/>
  <c r="AK60" i="4"/>
  <c r="AK59" i="4"/>
  <c r="AK58" i="4"/>
  <c r="AK57" i="4"/>
  <c r="AK56" i="4"/>
  <c r="AK55" i="4"/>
  <c r="AK54" i="4"/>
  <c r="AK53" i="4"/>
  <c r="AK52" i="4"/>
  <c r="AK51" i="4"/>
  <c r="AK50" i="4"/>
  <c r="AK49" i="4"/>
  <c r="AK48" i="4"/>
  <c r="AK47" i="4"/>
  <c r="AK46" i="4"/>
  <c r="AK43" i="4"/>
  <c r="AK42" i="4"/>
  <c r="AK41" i="4"/>
  <c r="AK40" i="4"/>
  <c r="AK39" i="4"/>
  <c r="AK38" i="4"/>
  <c r="AK37" i="4"/>
  <c r="AK36" i="4"/>
  <c r="AK35" i="4"/>
  <c r="AK34" i="4"/>
  <c r="AK33" i="4"/>
  <c r="AK32" i="4"/>
  <c r="AK31" i="4"/>
  <c r="AK30" i="4"/>
  <c r="AK29" i="4"/>
  <c r="AK28" i="4"/>
  <c r="AK2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5" i="4"/>
  <c r="AI1" i="9"/>
  <c r="AI2" i="9" s="1"/>
  <c r="AJ1" i="4"/>
  <c r="AL2" i="4"/>
  <c r="AK256" i="4"/>
  <c r="AK255" i="4"/>
  <c r="AJ167" i="9"/>
  <c r="AJ166" i="9"/>
  <c r="AJ165" i="9"/>
  <c r="AJ164" i="9"/>
  <c r="AJ163" i="9"/>
  <c r="AJ162" i="9"/>
  <c r="AJ161" i="9"/>
  <c r="AJ160" i="9"/>
  <c r="AJ159" i="9"/>
  <c r="AJ153" i="9"/>
  <c r="AJ152" i="9"/>
  <c r="AJ151" i="9"/>
  <c r="AJ150" i="9"/>
  <c r="AJ149" i="9"/>
  <c r="AJ148" i="9"/>
  <c r="AJ147" i="9"/>
  <c r="AJ145" i="9"/>
  <c r="AJ144" i="9"/>
  <c r="AJ143" i="9"/>
  <c r="AJ142" i="9"/>
  <c r="AJ141" i="9"/>
  <c r="AJ138" i="9"/>
  <c r="AJ137" i="9"/>
  <c r="AJ136" i="9"/>
  <c r="AJ135" i="9"/>
  <c r="AJ134" i="9"/>
  <c r="AJ131" i="9"/>
  <c r="AJ130" i="9"/>
  <c r="AJ129" i="9"/>
  <c r="AJ128" i="9"/>
  <c r="AJ127" i="9"/>
  <c r="AJ125" i="9"/>
  <c r="AJ122" i="9"/>
  <c r="AJ121" i="9"/>
  <c r="AJ120" i="9"/>
  <c r="AJ119" i="9"/>
  <c r="AJ118" i="9"/>
  <c r="AJ117" i="9"/>
  <c r="AJ116" i="9"/>
  <c r="AJ115" i="9"/>
  <c r="AJ112" i="9"/>
  <c r="AJ111" i="9"/>
  <c r="AJ110" i="9"/>
  <c r="AJ109" i="9"/>
  <c r="AJ108" i="9"/>
  <c r="AJ107" i="9"/>
  <c r="AJ104" i="9"/>
  <c r="AJ103" i="9"/>
  <c r="AJ102" i="9"/>
  <c r="AJ101" i="9"/>
  <c r="AJ98" i="9"/>
  <c r="AJ97" i="9"/>
  <c r="AJ96" i="9"/>
  <c r="AJ95" i="9"/>
  <c r="AJ94" i="9"/>
  <c r="AJ93" i="9"/>
  <c r="AJ92" i="9"/>
  <c r="AJ89" i="9"/>
  <c r="AJ88" i="9"/>
  <c r="AJ87" i="9"/>
  <c r="AJ86" i="9"/>
  <c r="AJ85" i="9"/>
  <c r="AJ84" i="9"/>
  <c r="AJ83" i="9"/>
  <c r="AJ82" i="9"/>
  <c r="AJ81" i="9"/>
  <c r="AJ80" i="9"/>
  <c r="AJ79" i="9"/>
  <c r="AJ78" i="9"/>
  <c r="AJ77" i="9"/>
  <c r="AJ76" i="9"/>
  <c r="AJ75" i="9"/>
  <c r="AJ74" i="9"/>
  <c r="AJ73" i="9"/>
  <c r="AJ72" i="9"/>
  <c r="AJ71" i="9"/>
  <c r="AJ70" i="9"/>
  <c r="AJ67" i="9"/>
  <c r="AJ66" i="9"/>
  <c r="AJ65" i="9"/>
  <c r="AJ64" i="9"/>
  <c r="AJ63" i="9"/>
  <c r="AJ62" i="9"/>
  <c r="AJ61" i="9"/>
  <c r="AJ60" i="9"/>
  <c r="AJ59" i="9"/>
  <c r="AJ58" i="9"/>
  <c r="AJ57" i="9"/>
  <c r="AJ56" i="9"/>
  <c r="AJ55" i="9"/>
  <c r="AJ54" i="9"/>
  <c r="AJ53" i="9"/>
  <c r="AJ52" i="9"/>
  <c r="AJ51" i="9"/>
  <c r="AJ50" i="9"/>
  <c r="AJ49" i="9"/>
  <c r="AJ48" i="9"/>
  <c r="AJ47" i="9"/>
  <c r="AJ44" i="9"/>
  <c r="AJ43" i="9"/>
  <c r="AJ42" i="9"/>
  <c r="AJ41" i="9"/>
  <c r="AJ40" i="9"/>
  <c r="AJ39" i="9"/>
  <c r="AJ38" i="9"/>
  <c r="AJ37" i="9"/>
  <c r="AJ36" i="9"/>
  <c r="AJ35" i="9"/>
  <c r="AJ34" i="9"/>
  <c r="AJ33" i="9"/>
  <c r="AJ32" i="9"/>
  <c r="AJ31" i="9"/>
  <c r="AJ30" i="9"/>
  <c r="AJ29" i="9"/>
  <c r="AJ26" i="9"/>
  <c r="AJ25" i="9"/>
  <c r="AJ24" i="9"/>
  <c r="AJ23" i="9"/>
  <c r="AJ22" i="9"/>
  <c r="AJ21" i="9"/>
  <c r="AJ20" i="9"/>
  <c r="AJ19" i="9"/>
  <c r="AJ18" i="9"/>
  <c r="AJ17" i="9"/>
  <c r="AJ16" i="9"/>
  <c r="AJ15" i="9"/>
  <c r="AJ14" i="9"/>
  <c r="AJ13" i="9"/>
  <c r="AJ12" i="9"/>
  <c r="AJ11" i="9"/>
  <c r="AJ10" i="9"/>
  <c r="AJ9" i="9"/>
  <c r="AJ8" i="9"/>
  <c r="AJ7" i="9"/>
  <c r="AJ6" i="9"/>
  <c r="AJ146" i="9"/>
  <c r="AJ126" i="9"/>
  <c r="AE156" i="9"/>
  <c r="AE170" i="9" s="1"/>
  <c r="AK3" i="9"/>
  <c r="AJ172" i="9"/>
  <c r="AG169" i="9"/>
  <c r="AI154" i="4"/>
  <c r="AI155" i="4" s="1"/>
  <c r="AJ26" i="4"/>
  <c r="AI154" i="9"/>
  <c r="AJ153" i="4" s="1"/>
  <c r="AE171" i="4" l="1"/>
  <c r="AF170" i="4"/>
  <c r="AH168" i="9"/>
  <c r="AI169" i="4" s="1"/>
  <c r="AJ89" i="4"/>
  <c r="AI155" i="9"/>
  <c r="AL168" i="4"/>
  <c r="BL29" i="4"/>
  <c r="AI171" i="9"/>
  <c r="AK254" i="4"/>
  <c r="AJ45" i="9"/>
  <c r="AK44" i="4" s="1"/>
  <c r="AJ68" i="9"/>
  <c r="AK67" i="4" s="1"/>
  <c r="AJ105" i="9"/>
  <c r="AK104" i="4" s="1"/>
  <c r="AJ113" i="9"/>
  <c r="AK112" i="4" s="1"/>
  <c r="AJ139" i="9"/>
  <c r="AK138" i="4" s="1"/>
  <c r="AJ27" i="9"/>
  <c r="AK26" i="4" s="1"/>
  <c r="AJ154" i="9"/>
  <c r="AK153" i="4" s="1"/>
  <c r="AJ90" i="9"/>
  <c r="AJ99" i="9"/>
  <c r="AK98" i="4" s="1"/>
  <c r="AJ132" i="9"/>
  <c r="AK131" i="4" s="1"/>
  <c r="AJ123" i="9"/>
  <c r="AK122" i="4" s="1"/>
  <c r="AG157" i="4"/>
  <c r="AG174" i="4" s="1"/>
  <c r="AI173" i="4"/>
  <c r="AK156" i="4"/>
  <c r="AL160" i="4"/>
  <c r="AL161" i="4"/>
  <c r="AL162" i="4"/>
  <c r="AL163" i="4"/>
  <c r="AL164" i="4"/>
  <c r="AL165" i="4"/>
  <c r="AL166" i="4"/>
  <c r="AL167" i="4"/>
  <c r="AL152" i="4"/>
  <c r="AL151" i="4"/>
  <c r="AL150" i="4"/>
  <c r="AL149" i="4"/>
  <c r="AL148" i="4"/>
  <c r="AL147" i="4"/>
  <c r="AL146" i="4"/>
  <c r="AL145" i="4"/>
  <c r="AL144" i="4"/>
  <c r="AL143" i="4"/>
  <c r="AL142" i="4"/>
  <c r="AL141" i="4"/>
  <c r="AL140" i="4"/>
  <c r="AL137" i="4"/>
  <c r="AL136" i="4"/>
  <c r="AL135" i="4"/>
  <c r="AL134" i="4"/>
  <c r="AL133" i="4"/>
  <c r="AL130" i="4"/>
  <c r="AL129" i="4"/>
  <c r="AL128" i="4"/>
  <c r="AL127" i="4"/>
  <c r="AL126" i="4"/>
  <c r="AL125" i="4"/>
  <c r="AL124" i="4"/>
  <c r="AL121" i="4"/>
  <c r="AL120" i="4"/>
  <c r="AL119" i="4"/>
  <c r="AL118" i="4"/>
  <c r="AL117" i="4"/>
  <c r="AL116" i="4"/>
  <c r="AL115" i="4"/>
  <c r="AL114" i="4"/>
  <c r="AL111" i="4"/>
  <c r="AL110" i="4"/>
  <c r="AL109" i="4"/>
  <c r="AL108" i="4"/>
  <c r="AL107" i="4"/>
  <c r="AL106" i="4"/>
  <c r="AL103" i="4"/>
  <c r="AL102" i="4"/>
  <c r="AL101" i="4"/>
  <c r="AL100" i="4"/>
  <c r="AL97" i="4"/>
  <c r="AL96" i="4"/>
  <c r="AL95" i="4"/>
  <c r="AL94" i="4"/>
  <c r="AL93" i="4"/>
  <c r="AL92" i="4"/>
  <c r="AL91" i="4"/>
  <c r="AL88" i="4"/>
  <c r="AL87" i="4"/>
  <c r="AL86" i="4"/>
  <c r="AL85" i="4"/>
  <c r="AL84" i="4"/>
  <c r="AL83" i="4"/>
  <c r="AL82" i="4"/>
  <c r="AL81" i="4"/>
  <c r="AL80" i="4"/>
  <c r="AL79" i="4"/>
  <c r="AL78" i="4"/>
  <c r="AL77" i="4"/>
  <c r="AL76" i="4"/>
  <c r="AL75" i="4"/>
  <c r="AL74" i="4"/>
  <c r="AL73" i="4"/>
  <c r="AL72" i="4"/>
  <c r="AL71" i="4"/>
  <c r="AL70" i="4"/>
  <c r="AL69" i="4"/>
  <c r="AL66" i="4"/>
  <c r="AL65" i="4"/>
  <c r="AL64" i="4"/>
  <c r="AL63" i="4"/>
  <c r="AL62" i="4"/>
  <c r="AL61" i="4"/>
  <c r="AL60" i="4"/>
  <c r="AL59" i="4"/>
  <c r="AL58" i="4"/>
  <c r="AL57" i="4"/>
  <c r="AL56" i="4"/>
  <c r="AL55" i="4"/>
  <c r="AL54" i="4"/>
  <c r="AL53" i="4"/>
  <c r="AL52" i="4"/>
  <c r="AL51" i="4"/>
  <c r="AL50" i="4"/>
  <c r="AL49" i="4"/>
  <c r="AL48" i="4"/>
  <c r="AL47" i="4"/>
  <c r="AL46" i="4"/>
  <c r="AL43" i="4"/>
  <c r="AL42" i="4"/>
  <c r="AL41" i="4"/>
  <c r="AL40" i="4"/>
  <c r="AL39" i="4"/>
  <c r="AL38" i="4"/>
  <c r="AL37" i="4"/>
  <c r="AL36" i="4"/>
  <c r="AL35" i="4"/>
  <c r="AL34" i="4"/>
  <c r="AL33" i="4"/>
  <c r="AL32" i="4"/>
  <c r="AL31" i="4"/>
  <c r="AL30" i="4"/>
  <c r="AL29" i="4"/>
  <c r="AL28" i="4"/>
  <c r="AL2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5" i="4"/>
  <c r="AJ1" i="9"/>
  <c r="AJ2" i="9" s="1"/>
  <c r="AK1" i="4"/>
  <c r="AM2" i="4"/>
  <c r="AL256" i="4"/>
  <c r="AL255" i="4"/>
  <c r="AK167" i="9"/>
  <c r="AK166" i="9"/>
  <c r="AK165" i="9"/>
  <c r="AK164" i="9"/>
  <c r="AK163" i="9"/>
  <c r="AK162" i="9"/>
  <c r="AK161" i="9"/>
  <c r="AK160" i="9"/>
  <c r="AK159" i="9"/>
  <c r="AK153" i="9"/>
  <c r="AK152" i="9"/>
  <c r="AK151" i="9"/>
  <c r="AK150" i="9"/>
  <c r="AK149" i="9"/>
  <c r="AK148" i="9"/>
  <c r="AK147" i="9"/>
  <c r="AK145" i="9"/>
  <c r="AK144" i="9"/>
  <c r="AK143" i="9"/>
  <c r="AK142" i="9"/>
  <c r="AK141" i="9"/>
  <c r="AK138" i="9"/>
  <c r="AK137" i="9"/>
  <c r="AK136" i="9"/>
  <c r="AK135" i="9"/>
  <c r="AK134" i="9"/>
  <c r="AK131" i="9"/>
  <c r="AK130" i="9"/>
  <c r="AK129" i="9"/>
  <c r="AK128" i="9"/>
  <c r="AK127" i="9"/>
  <c r="AK125" i="9"/>
  <c r="AK122" i="9"/>
  <c r="AK121" i="9"/>
  <c r="AK120" i="9"/>
  <c r="AK119" i="9"/>
  <c r="AK118" i="9"/>
  <c r="AK117" i="9"/>
  <c r="AK116" i="9"/>
  <c r="AK115" i="9"/>
  <c r="AK112" i="9"/>
  <c r="AK111" i="9"/>
  <c r="AK110" i="9"/>
  <c r="AK109" i="9"/>
  <c r="AK108" i="9"/>
  <c r="AK107" i="9"/>
  <c r="AK104" i="9"/>
  <c r="AK103" i="9"/>
  <c r="AK102" i="9"/>
  <c r="AK101" i="9"/>
  <c r="AK98" i="9"/>
  <c r="AK97" i="9"/>
  <c r="AK96" i="9"/>
  <c r="AK95" i="9"/>
  <c r="AK94" i="9"/>
  <c r="AK93" i="9"/>
  <c r="AK92" i="9"/>
  <c r="AK89" i="9"/>
  <c r="AK88" i="9"/>
  <c r="AK87" i="9"/>
  <c r="AK86" i="9"/>
  <c r="AK85" i="9"/>
  <c r="AK84" i="9"/>
  <c r="AK83" i="9"/>
  <c r="AK82" i="9"/>
  <c r="AK81" i="9"/>
  <c r="AK80" i="9"/>
  <c r="AK79" i="9"/>
  <c r="AK78" i="9"/>
  <c r="AK77" i="9"/>
  <c r="AK76" i="9"/>
  <c r="AK75" i="9"/>
  <c r="AK74" i="9"/>
  <c r="AK73" i="9"/>
  <c r="AK72" i="9"/>
  <c r="AK71" i="9"/>
  <c r="AK70" i="9"/>
  <c r="AK67" i="9"/>
  <c r="AK66" i="9"/>
  <c r="AK65" i="9"/>
  <c r="AK64" i="9"/>
  <c r="AK63" i="9"/>
  <c r="AK62" i="9"/>
  <c r="AK61" i="9"/>
  <c r="AK60" i="9"/>
  <c r="AK59" i="9"/>
  <c r="AK58" i="9"/>
  <c r="AK57" i="9"/>
  <c r="AK56" i="9"/>
  <c r="AK55" i="9"/>
  <c r="AK54" i="9"/>
  <c r="AK53" i="9"/>
  <c r="AK52" i="9"/>
  <c r="AK51" i="9"/>
  <c r="AK50" i="9"/>
  <c r="AK49" i="9"/>
  <c r="AK48" i="9"/>
  <c r="AK47" i="9"/>
  <c r="AK44" i="9"/>
  <c r="AK43" i="9"/>
  <c r="AK42" i="9"/>
  <c r="AK41" i="9"/>
  <c r="AK40" i="9"/>
  <c r="AK39" i="9"/>
  <c r="AK38" i="9"/>
  <c r="AK37" i="9"/>
  <c r="AK36" i="9"/>
  <c r="AK35" i="9"/>
  <c r="AK34" i="9"/>
  <c r="AK33" i="9"/>
  <c r="AK32" i="9"/>
  <c r="AK31" i="9"/>
  <c r="AK30" i="9"/>
  <c r="AK29" i="9"/>
  <c r="AK26" i="9"/>
  <c r="AK25" i="9"/>
  <c r="AK24" i="9"/>
  <c r="AK23" i="9"/>
  <c r="AK22" i="9"/>
  <c r="AK21" i="9"/>
  <c r="AK20" i="9"/>
  <c r="AK19" i="9"/>
  <c r="AK18" i="9"/>
  <c r="AK17" i="9"/>
  <c r="AK16" i="9"/>
  <c r="AK15" i="9"/>
  <c r="AK14" i="9"/>
  <c r="AK13" i="9"/>
  <c r="AK12" i="9"/>
  <c r="AK11" i="9"/>
  <c r="AK10" i="9"/>
  <c r="AK9" i="9"/>
  <c r="AK8" i="9"/>
  <c r="AK7" i="9"/>
  <c r="AK6" i="9"/>
  <c r="AK146" i="9"/>
  <c r="AK126" i="9"/>
  <c r="AF156" i="9"/>
  <c r="AF170" i="9" s="1"/>
  <c r="AL3" i="9"/>
  <c r="AK172" i="9"/>
  <c r="AH169" i="9"/>
  <c r="AJ154" i="4"/>
  <c r="AJ155" i="4" s="1"/>
  <c r="AF171" i="4" l="1"/>
  <c r="AG170" i="4"/>
  <c r="AI168" i="9"/>
  <c r="AJ169" i="4" s="1"/>
  <c r="AK89" i="4"/>
  <c r="AJ155" i="9"/>
  <c r="AJ171" i="9"/>
  <c r="AL254" i="4"/>
  <c r="AK45" i="9"/>
  <c r="AL44" i="4" s="1"/>
  <c r="AK105" i="9"/>
  <c r="AL104" i="4" s="1"/>
  <c r="AK113" i="9"/>
  <c r="AL112" i="4" s="1"/>
  <c r="AK139" i="9"/>
  <c r="AL138" i="4" s="1"/>
  <c r="AK132" i="9"/>
  <c r="AL131" i="4" s="1"/>
  <c r="AK99" i="9"/>
  <c r="AL98" i="4" s="1"/>
  <c r="AK27" i="9"/>
  <c r="AL26" i="4" s="1"/>
  <c r="AK123" i="9"/>
  <c r="AL122" i="4" s="1"/>
  <c r="AK90" i="9"/>
  <c r="AK68" i="9"/>
  <c r="AH157" i="4"/>
  <c r="AH174" i="4" s="1"/>
  <c r="AJ173" i="4"/>
  <c r="AL156" i="4"/>
  <c r="AM160" i="4"/>
  <c r="AM161" i="4"/>
  <c r="AM162" i="4"/>
  <c r="AM163" i="4"/>
  <c r="AM164" i="4"/>
  <c r="AM165" i="4"/>
  <c r="AM166" i="4"/>
  <c r="AM167" i="4"/>
  <c r="AM168" i="4"/>
  <c r="AM152" i="4"/>
  <c r="AM151" i="4"/>
  <c r="AM150" i="4"/>
  <c r="AM149" i="4"/>
  <c r="F149" i="4" s="1"/>
  <c r="AM148" i="4"/>
  <c r="AM147" i="4"/>
  <c r="AM146" i="4"/>
  <c r="AM145" i="4"/>
  <c r="AM144" i="4"/>
  <c r="AM143" i="4"/>
  <c r="AM142" i="4"/>
  <c r="AM141" i="4"/>
  <c r="AM140" i="4"/>
  <c r="F140" i="4" s="1"/>
  <c r="AM137" i="4"/>
  <c r="AM136" i="4"/>
  <c r="AM135" i="4"/>
  <c r="AM134" i="4"/>
  <c r="AM133" i="4"/>
  <c r="AM130" i="4"/>
  <c r="AM129" i="4"/>
  <c r="AM128" i="4"/>
  <c r="AM127" i="4"/>
  <c r="AM126" i="4"/>
  <c r="AM125" i="4"/>
  <c r="AM124" i="4"/>
  <c r="AM121" i="4"/>
  <c r="AM120" i="4"/>
  <c r="AM119" i="4"/>
  <c r="AM118" i="4"/>
  <c r="AM117" i="4"/>
  <c r="AM116" i="4"/>
  <c r="AM115" i="4"/>
  <c r="AM114" i="4"/>
  <c r="AM111" i="4"/>
  <c r="AM110" i="4"/>
  <c r="AM109" i="4"/>
  <c r="AM108" i="4"/>
  <c r="AM107" i="4"/>
  <c r="AM106" i="4"/>
  <c r="AM103" i="4"/>
  <c r="AM102" i="4"/>
  <c r="AM101" i="4"/>
  <c r="AM100" i="4"/>
  <c r="AM97" i="4"/>
  <c r="AM96" i="4"/>
  <c r="AM95" i="4"/>
  <c r="AM94" i="4"/>
  <c r="AM93" i="4"/>
  <c r="AM92" i="4"/>
  <c r="AM91" i="4"/>
  <c r="AM88" i="4"/>
  <c r="AM87" i="4"/>
  <c r="AM86" i="4"/>
  <c r="AM85" i="4"/>
  <c r="AM84" i="4"/>
  <c r="AM83" i="4"/>
  <c r="AM82" i="4"/>
  <c r="AM81" i="4"/>
  <c r="AM80" i="4"/>
  <c r="AM79" i="4"/>
  <c r="AM78" i="4"/>
  <c r="AM77" i="4"/>
  <c r="AM76" i="4"/>
  <c r="AM75" i="4"/>
  <c r="AM74" i="4"/>
  <c r="AM73" i="4"/>
  <c r="AM72" i="4"/>
  <c r="AM71" i="4"/>
  <c r="AM70" i="4"/>
  <c r="AM69" i="4"/>
  <c r="AM66" i="4"/>
  <c r="AM65" i="4"/>
  <c r="AM64" i="4"/>
  <c r="AM63" i="4"/>
  <c r="AM62" i="4"/>
  <c r="AM61" i="4"/>
  <c r="AM60" i="4"/>
  <c r="AM59" i="4"/>
  <c r="AM58" i="4"/>
  <c r="AM57" i="4"/>
  <c r="AM56" i="4"/>
  <c r="AM55" i="4"/>
  <c r="AM54" i="4"/>
  <c r="AM53" i="4"/>
  <c r="AM52" i="4"/>
  <c r="AM51" i="4"/>
  <c r="AM50" i="4"/>
  <c r="AM49" i="4"/>
  <c r="AM48" i="4"/>
  <c r="AM47" i="4"/>
  <c r="AM46" i="4"/>
  <c r="AM43" i="4"/>
  <c r="AM42" i="4"/>
  <c r="AM41" i="4"/>
  <c r="AM40" i="4"/>
  <c r="AM39" i="4"/>
  <c r="AM38" i="4"/>
  <c r="AM37" i="4"/>
  <c r="AM36" i="4"/>
  <c r="AM35" i="4"/>
  <c r="AM34" i="4"/>
  <c r="AM33" i="4"/>
  <c r="AM32" i="4"/>
  <c r="AM31" i="4"/>
  <c r="AM30" i="4"/>
  <c r="AM29" i="4"/>
  <c r="AM28" i="4"/>
  <c r="AM25" i="4"/>
  <c r="AM6" i="4"/>
  <c r="AM7" i="4"/>
  <c r="F7" i="4" s="1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5" i="4"/>
  <c r="AK1" i="9"/>
  <c r="AK2" i="9" s="1"/>
  <c r="AL1" i="4"/>
  <c r="AM256" i="4"/>
  <c r="AM255" i="4"/>
  <c r="AM254" i="4"/>
  <c r="AL171" i="9" s="1"/>
  <c r="AL167" i="9"/>
  <c r="AL166" i="9"/>
  <c r="AL165" i="9"/>
  <c r="AL164" i="9"/>
  <c r="AL163" i="9"/>
  <c r="AL162" i="9"/>
  <c r="AL161" i="9"/>
  <c r="AL160" i="9"/>
  <c r="AL159" i="9"/>
  <c r="AL153" i="9"/>
  <c r="A153" i="9" s="1"/>
  <c r="AL152" i="9"/>
  <c r="A152" i="9" s="1"/>
  <c r="AL151" i="9"/>
  <c r="A151" i="9" s="1"/>
  <c r="AL150" i="9"/>
  <c r="A150" i="9" s="1"/>
  <c r="AL149" i="9"/>
  <c r="A149" i="9" s="1"/>
  <c r="AL148" i="9"/>
  <c r="A148" i="9" s="1"/>
  <c r="AL147" i="9"/>
  <c r="A147" i="9" s="1"/>
  <c r="AL146" i="9"/>
  <c r="A146" i="9" s="1"/>
  <c r="AL145" i="9"/>
  <c r="A145" i="9" s="1"/>
  <c r="AL144" i="9"/>
  <c r="A144" i="9" s="1"/>
  <c r="AL143" i="9"/>
  <c r="A143" i="9" s="1"/>
  <c r="AL142" i="9"/>
  <c r="A142" i="9" s="1"/>
  <c r="AL141" i="9"/>
  <c r="A141" i="9" s="1"/>
  <c r="AL138" i="9"/>
  <c r="A138" i="9" s="1"/>
  <c r="AL137" i="9"/>
  <c r="A137" i="9" s="1"/>
  <c r="AL136" i="9"/>
  <c r="A136" i="9" s="1"/>
  <c r="AL135" i="9"/>
  <c r="A135" i="9" s="1"/>
  <c r="AL134" i="9"/>
  <c r="A134" i="9" s="1"/>
  <c r="AL131" i="9"/>
  <c r="A131" i="9" s="1"/>
  <c r="AL130" i="9"/>
  <c r="A130" i="9" s="1"/>
  <c r="AL129" i="9"/>
  <c r="A129" i="9" s="1"/>
  <c r="AL128" i="9"/>
  <c r="A128" i="9" s="1"/>
  <c r="AL127" i="9"/>
  <c r="A127" i="9" s="1"/>
  <c r="AL126" i="9"/>
  <c r="A126" i="9" s="1"/>
  <c r="AL125" i="9"/>
  <c r="A125" i="9" s="1"/>
  <c r="AL122" i="9"/>
  <c r="A122" i="9" s="1"/>
  <c r="AL121" i="9"/>
  <c r="A121" i="9" s="1"/>
  <c r="AL120" i="9"/>
  <c r="A120" i="9" s="1"/>
  <c r="AL119" i="9"/>
  <c r="A119" i="9" s="1"/>
  <c r="AL118" i="9"/>
  <c r="A118" i="9" s="1"/>
  <c r="AL117" i="9"/>
  <c r="A117" i="9" s="1"/>
  <c r="AL116" i="9"/>
  <c r="A116" i="9" s="1"/>
  <c r="AL115" i="9"/>
  <c r="A115" i="9" s="1"/>
  <c r="AL112" i="9"/>
  <c r="A112" i="9" s="1"/>
  <c r="AL111" i="9"/>
  <c r="A111" i="9" s="1"/>
  <c r="AL110" i="9"/>
  <c r="A110" i="9" s="1"/>
  <c r="AL109" i="9"/>
  <c r="A109" i="9" s="1"/>
  <c r="AL108" i="9"/>
  <c r="A108" i="9" s="1"/>
  <c r="AL107" i="9"/>
  <c r="A107" i="9" s="1"/>
  <c r="AL104" i="9"/>
  <c r="A104" i="9" s="1"/>
  <c r="AL103" i="9"/>
  <c r="A103" i="9" s="1"/>
  <c r="AL102" i="9"/>
  <c r="A102" i="9" s="1"/>
  <c r="AL101" i="9"/>
  <c r="A101" i="9" s="1"/>
  <c r="AL98" i="9"/>
  <c r="A98" i="9" s="1"/>
  <c r="AL97" i="9"/>
  <c r="A97" i="9" s="1"/>
  <c r="AL96" i="9"/>
  <c r="A96" i="9" s="1"/>
  <c r="AL95" i="9"/>
  <c r="A95" i="9" s="1"/>
  <c r="AL94" i="9"/>
  <c r="A94" i="9" s="1"/>
  <c r="AL93" i="9"/>
  <c r="A93" i="9" s="1"/>
  <c r="AL92" i="9"/>
  <c r="A92" i="9" s="1"/>
  <c r="AL89" i="9"/>
  <c r="AL88" i="9"/>
  <c r="A88" i="9" s="1"/>
  <c r="AL87" i="9"/>
  <c r="AL86" i="9"/>
  <c r="AL85" i="9"/>
  <c r="AL84" i="9"/>
  <c r="A84" i="9" s="1"/>
  <c r="AL83" i="9"/>
  <c r="AL82" i="9"/>
  <c r="AL81" i="9"/>
  <c r="AL80" i="9"/>
  <c r="A80" i="9" s="1"/>
  <c r="AL79" i="9"/>
  <c r="AL78" i="9"/>
  <c r="AL77" i="9"/>
  <c r="AL76" i="9"/>
  <c r="A76" i="9" s="1"/>
  <c r="AL75" i="9"/>
  <c r="AL74" i="9"/>
  <c r="AL73" i="9"/>
  <c r="AL72" i="9"/>
  <c r="A72" i="9" s="1"/>
  <c r="AL71" i="9"/>
  <c r="AL70" i="9"/>
  <c r="A70" i="9" s="1"/>
  <c r="AL67" i="9"/>
  <c r="AL66" i="9"/>
  <c r="A66" i="9" s="1"/>
  <c r="AL65" i="9"/>
  <c r="AL64" i="9"/>
  <c r="AL63" i="9"/>
  <c r="AL62" i="9"/>
  <c r="A62" i="9" s="1"/>
  <c r="AL61" i="9"/>
  <c r="AL60" i="9"/>
  <c r="AL59" i="9"/>
  <c r="AL58" i="9"/>
  <c r="A58" i="9" s="1"/>
  <c r="AL57" i="9"/>
  <c r="AL56" i="9"/>
  <c r="AL55" i="9"/>
  <c r="AL54" i="9"/>
  <c r="AL53" i="9"/>
  <c r="AL52" i="9"/>
  <c r="AL51" i="9"/>
  <c r="AL50" i="9"/>
  <c r="A50" i="9" s="1"/>
  <c r="AL49" i="9"/>
  <c r="AL48" i="9"/>
  <c r="AL47" i="9"/>
  <c r="A47" i="9" s="1"/>
  <c r="AL44" i="9"/>
  <c r="A44" i="9" s="1"/>
  <c r="AL43" i="9"/>
  <c r="AL42" i="9"/>
  <c r="AL41" i="9"/>
  <c r="AL40" i="9"/>
  <c r="AL39" i="9"/>
  <c r="A39" i="9" s="1"/>
  <c r="AL38" i="9"/>
  <c r="AL37" i="9"/>
  <c r="AL36" i="9"/>
  <c r="A36" i="9" s="1"/>
  <c r="AL35" i="9"/>
  <c r="AL34" i="9"/>
  <c r="AL33" i="9"/>
  <c r="AL32" i="9"/>
  <c r="AL31" i="9"/>
  <c r="AL30" i="9"/>
  <c r="AL29" i="9"/>
  <c r="AL26" i="9"/>
  <c r="AL25" i="9"/>
  <c r="AL24" i="9"/>
  <c r="AL23" i="9"/>
  <c r="AL22" i="9"/>
  <c r="AL21" i="9"/>
  <c r="AL20" i="9"/>
  <c r="AL19" i="9"/>
  <c r="AL18" i="9"/>
  <c r="A18" i="9" s="1"/>
  <c r="AL17" i="9"/>
  <c r="AL16" i="9"/>
  <c r="AL15" i="9"/>
  <c r="AL14" i="9"/>
  <c r="AL13" i="9"/>
  <c r="AL12" i="9"/>
  <c r="AL11" i="9"/>
  <c r="AL10" i="9"/>
  <c r="AL9" i="9"/>
  <c r="AL8" i="9"/>
  <c r="AL7" i="9"/>
  <c r="AL6" i="9"/>
  <c r="A6" i="9" s="1"/>
  <c r="AG156" i="9"/>
  <c r="AG170" i="9" s="1"/>
  <c r="E84" i="9"/>
  <c r="F84" i="9" s="1"/>
  <c r="E88" i="9"/>
  <c r="F88" i="9" s="1"/>
  <c r="AL172" i="9"/>
  <c r="AI169" i="9"/>
  <c r="AK154" i="4"/>
  <c r="AK155" i="4" s="1"/>
  <c r="E18" i="9"/>
  <c r="F18" i="9" s="1"/>
  <c r="E36" i="9"/>
  <c r="F36" i="9" s="1"/>
  <c r="E39" i="9"/>
  <c r="F39" i="9" s="1"/>
  <c r="E44" i="9"/>
  <c r="F44" i="9" s="1"/>
  <c r="AL67" i="4"/>
  <c r="E50" i="9"/>
  <c r="E58" i="9"/>
  <c r="F58" i="9" s="1"/>
  <c r="E62" i="9"/>
  <c r="E66" i="9"/>
  <c r="E72" i="9"/>
  <c r="F72" i="9" s="1"/>
  <c r="E76" i="9"/>
  <c r="F76" i="9" s="1"/>
  <c r="E80" i="9"/>
  <c r="F80" i="9" s="1"/>
  <c r="AK154" i="9"/>
  <c r="AL153" i="4" s="1"/>
  <c r="G86" i="4"/>
  <c r="G84" i="4"/>
  <c r="G77" i="4"/>
  <c r="G76" i="4"/>
  <c r="G72" i="4"/>
  <c r="D44" i="4"/>
  <c r="G44" i="4" s="1"/>
  <c r="AG171" i="4" l="1"/>
  <c r="AH170" i="4"/>
  <c r="AJ168" i="9"/>
  <c r="AK169" i="4" s="1"/>
  <c r="E7" i="9"/>
  <c r="F7" i="9" s="1"/>
  <c r="A7" i="9"/>
  <c r="E9" i="9"/>
  <c r="F9" i="9" s="1"/>
  <c r="A9" i="9"/>
  <c r="E10" i="9"/>
  <c r="F10" i="9" s="1"/>
  <c r="A10" i="9"/>
  <c r="E11" i="9"/>
  <c r="F11" i="9" s="1"/>
  <c r="A11" i="9"/>
  <c r="E12" i="9"/>
  <c r="F12" i="9" s="1"/>
  <c r="A12" i="9"/>
  <c r="E13" i="9"/>
  <c r="F13" i="9" s="1"/>
  <c r="A13" i="9"/>
  <c r="E14" i="9"/>
  <c r="F14" i="9" s="1"/>
  <c r="A14" i="9"/>
  <c r="E15" i="9"/>
  <c r="F15" i="9" s="1"/>
  <c r="A15" i="9"/>
  <c r="E16" i="9"/>
  <c r="F16" i="9" s="1"/>
  <c r="A16" i="9"/>
  <c r="E17" i="9"/>
  <c r="F17" i="9" s="1"/>
  <c r="A17" i="9"/>
  <c r="E19" i="9"/>
  <c r="F19" i="9" s="1"/>
  <c r="A19" i="9"/>
  <c r="E20" i="9"/>
  <c r="F20" i="9" s="1"/>
  <c r="A20" i="9"/>
  <c r="E21" i="9"/>
  <c r="A21" i="9"/>
  <c r="E22" i="9"/>
  <c r="F22" i="9" s="1"/>
  <c r="A22" i="9"/>
  <c r="E23" i="9"/>
  <c r="A23" i="9"/>
  <c r="E24" i="9"/>
  <c r="A24" i="9"/>
  <c r="E25" i="9"/>
  <c r="A25" i="9"/>
  <c r="E26" i="9"/>
  <c r="A26" i="9"/>
  <c r="E29" i="9"/>
  <c r="F29" i="9" s="1"/>
  <c r="A29" i="9"/>
  <c r="E30" i="9"/>
  <c r="F30" i="9" s="1"/>
  <c r="A30" i="9"/>
  <c r="E31" i="9"/>
  <c r="F31" i="9" s="1"/>
  <c r="A31" i="9"/>
  <c r="E32" i="9"/>
  <c r="F32" i="9" s="1"/>
  <c r="A32" i="9"/>
  <c r="E33" i="9"/>
  <c r="F33" i="9" s="1"/>
  <c r="A33" i="9"/>
  <c r="E34" i="9"/>
  <c r="F34" i="9" s="1"/>
  <c r="A34" i="9"/>
  <c r="E35" i="9"/>
  <c r="F35" i="9" s="1"/>
  <c r="A35" i="9"/>
  <c r="E37" i="9"/>
  <c r="F37" i="9" s="1"/>
  <c r="A37" i="9"/>
  <c r="E38" i="9"/>
  <c r="F38" i="9" s="1"/>
  <c r="A38" i="9"/>
  <c r="E40" i="9"/>
  <c r="F40" i="9" s="1"/>
  <c r="A40" i="9"/>
  <c r="E41" i="9"/>
  <c r="F41" i="9" s="1"/>
  <c r="A41" i="9"/>
  <c r="E42" i="9"/>
  <c r="F42" i="9" s="1"/>
  <c r="A42" i="9"/>
  <c r="E43" i="9"/>
  <c r="F43" i="9" s="1"/>
  <c r="A43" i="9"/>
  <c r="E48" i="9"/>
  <c r="F48" i="9" s="1"/>
  <c r="A48" i="9"/>
  <c r="E49" i="9"/>
  <c r="A49" i="9"/>
  <c r="E51" i="9"/>
  <c r="A51" i="9"/>
  <c r="E52" i="9"/>
  <c r="A52" i="9"/>
  <c r="E53" i="9"/>
  <c r="A53" i="9"/>
  <c r="E54" i="9"/>
  <c r="F54" i="9" s="1"/>
  <c r="A54" i="9"/>
  <c r="E55" i="9"/>
  <c r="A55" i="9"/>
  <c r="E56" i="9"/>
  <c r="A56" i="9"/>
  <c r="E57" i="9"/>
  <c r="A57" i="9"/>
  <c r="E59" i="9"/>
  <c r="A59" i="9"/>
  <c r="E60" i="9"/>
  <c r="A60" i="9"/>
  <c r="E61" i="9"/>
  <c r="A61" i="9"/>
  <c r="E63" i="9"/>
  <c r="A63" i="9"/>
  <c r="E64" i="9"/>
  <c r="A64" i="9"/>
  <c r="E65" i="9"/>
  <c r="A65" i="9"/>
  <c r="E67" i="9"/>
  <c r="A67" i="9"/>
  <c r="E71" i="9"/>
  <c r="F71" i="9" s="1"/>
  <c r="A71" i="9"/>
  <c r="E73" i="9"/>
  <c r="F73" i="9" s="1"/>
  <c r="A73" i="9"/>
  <c r="E74" i="9"/>
  <c r="F74" i="9" s="1"/>
  <c r="A74" i="9"/>
  <c r="E77" i="9"/>
  <c r="F77" i="9" s="1"/>
  <c r="A77" i="9"/>
  <c r="E78" i="9"/>
  <c r="F78" i="9" s="1"/>
  <c r="A78" i="9"/>
  <c r="E79" i="9"/>
  <c r="F79" i="9" s="1"/>
  <c r="A79" i="9"/>
  <c r="E81" i="9"/>
  <c r="F81" i="9" s="1"/>
  <c r="A81" i="9"/>
  <c r="E85" i="9"/>
  <c r="F85" i="9" s="1"/>
  <c r="A85" i="9"/>
  <c r="E86" i="9"/>
  <c r="F86" i="9" s="1"/>
  <c r="A86" i="9"/>
  <c r="E87" i="9"/>
  <c r="F87" i="9" s="1"/>
  <c r="A87" i="9"/>
  <c r="E89" i="9"/>
  <c r="F89" i="9" s="1"/>
  <c r="A89" i="9"/>
  <c r="E8" i="9"/>
  <c r="F8" i="9" s="1"/>
  <c r="A8" i="9"/>
  <c r="E75" i="9"/>
  <c r="F75" i="9" s="1"/>
  <c r="A75" i="9"/>
  <c r="E82" i="9"/>
  <c r="F82" i="9" s="1"/>
  <c r="A82" i="9"/>
  <c r="F82" i="4"/>
  <c r="F81" i="4"/>
  <c r="E83" i="9"/>
  <c r="A83" i="9"/>
  <c r="AL89" i="4"/>
  <c r="AK155" i="9"/>
  <c r="F19" i="4"/>
  <c r="F74" i="4"/>
  <c r="F101" i="4"/>
  <c r="F124" i="4"/>
  <c r="F134" i="4"/>
  <c r="D135" i="9" s="1"/>
  <c r="F94" i="4"/>
  <c r="F144" i="4"/>
  <c r="F10" i="4"/>
  <c r="F147" i="4"/>
  <c r="F115" i="4"/>
  <c r="F13" i="4"/>
  <c r="F6" i="4"/>
  <c r="F32" i="4"/>
  <c r="F80" i="4"/>
  <c r="F76" i="4"/>
  <c r="F143" i="4"/>
  <c r="F126" i="4"/>
  <c r="F18" i="4"/>
  <c r="F38" i="4"/>
  <c r="F71" i="4"/>
  <c r="F100" i="4"/>
  <c r="F151" i="4"/>
  <c r="F145" i="4"/>
  <c r="F8" i="4"/>
  <c r="F14" i="4"/>
  <c r="D15" i="9" s="1"/>
  <c r="F17" i="4"/>
  <c r="AN17" i="4" s="1"/>
  <c r="F152" i="4"/>
  <c r="F28" i="4"/>
  <c r="F125" i="4"/>
  <c r="AN125" i="4" s="1"/>
  <c r="F84" i="4"/>
  <c r="F106" i="4"/>
  <c r="F83" i="4"/>
  <c r="F79" i="4"/>
  <c r="F12" i="4"/>
  <c r="AN12" i="4" s="1"/>
  <c r="F148" i="4"/>
  <c r="F31" i="4"/>
  <c r="F37" i="4"/>
  <c r="F41" i="4"/>
  <c r="F133" i="4"/>
  <c r="F40" i="4"/>
  <c r="F42" i="4"/>
  <c r="F43" i="4"/>
  <c r="F33" i="4"/>
  <c r="F107" i="4"/>
  <c r="F70" i="4"/>
  <c r="F130" i="4"/>
  <c r="F29" i="4"/>
  <c r="F46" i="4"/>
  <c r="F16" i="4"/>
  <c r="F47" i="4"/>
  <c r="F15" i="4"/>
  <c r="F146" i="4"/>
  <c r="F5" i="4"/>
  <c r="F35" i="4"/>
  <c r="F114" i="4"/>
  <c r="F142" i="4"/>
  <c r="F11" i="4"/>
  <c r="F30" i="4"/>
  <c r="F150" i="4"/>
  <c r="F34" i="4"/>
  <c r="F9" i="4"/>
  <c r="F85" i="4"/>
  <c r="F127" i="4"/>
  <c r="F36" i="4"/>
  <c r="F92" i="4"/>
  <c r="F141" i="4"/>
  <c r="F153" i="4" s="1"/>
  <c r="F39" i="4"/>
  <c r="F161" i="4"/>
  <c r="D160" i="9" s="1"/>
  <c r="F163" i="4"/>
  <c r="D162" i="9" s="1"/>
  <c r="F160" i="4"/>
  <c r="D58" i="9"/>
  <c r="AN57" i="4"/>
  <c r="AK171" i="9"/>
  <c r="AL90" i="9"/>
  <c r="AM89" i="4" s="1"/>
  <c r="AL99" i="9"/>
  <c r="AM98" i="4" s="1"/>
  <c r="AL139" i="9"/>
  <c r="AM138" i="4" s="1"/>
  <c r="AL123" i="9"/>
  <c r="AM122" i="4" s="1"/>
  <c r="AL132" i="9"/>
  <c r="AM131" i="4" s="1"/>
  <c r="AL27" i="9"/>
  <c r="AM26" i="4" s="1"/>
  <c r="AL45" i="9"/>
  <c r="AM44" i="4" s="1"/>
  <c r="AL68" i="9"/>
  <c r="AM67" i="4" s="1"/>
  <c r="AL105" i="9"/>
  <c r="AM104" i="4" s="1"/>
  <c r="AL113" i="9"/>
  <c r="AM112" i="4" s="1"/>
  <c r="E70" i="9"/>
  <c r="E90" i="9" s="1"/>
  <c r="E47" i="9"/>
  <c r="F47" i="9" s="1"/>
  <c r="E6" i="9"/>
  <c r="E27" i="9" s="1"/>
  <c r="AI157" i="4"/>
  <c r="AI174" i="4" s="1"/>
  <c r="AK173" i="4"/>
  <c r="B172" i="4"/>
  <c r="AM156" i="4"/>
  <c r="B156" i="4" s="1"/>
  <c r="D163" i="9"/>
  <c r="AL1" i="9"/>
  <c r="AL2" i="9" s="1"/>
  <c r="AM1" i="4"/>
  <c r="AH156" i="9"/>
  <c r="AH170" i="9" s="1"/>
  <c r="F2" i="9"/>
  <c r="E92" i="9"/>
  <c r="E93" i="9"/>
  <c r="E94" i="9"/>
  <c r="E96" i="9"/>
  <c r="E97" i="9"/>
  <c r="E98" i="9"/>
  <c r="E102" i="9"/>
  <c r="E103" i="9"/>
  <c r="E104" i="9"/>
  <c r="E108" i="9"/>
  <c r="E109" i="9"/>
  <c r="E110" i="9"/>
  <c r="E111" i="9"/>
  <c r="E112" i="9"/>
  <c r="E118" i="9"/>
  <c r="E119" i="9"/>
  <c r="E120" i="9"/>
  <c r="E121" i="9"/>
  <c r="E122" i="9"/>
  <c r="E125" i="9"/>
  <c r="E130" i="9"/>
  <c r="E131" i="9"/>
  <c r="E135" i="9"/>
  <c r="E136" i="9"/>
  <c r="E137" i="9"/>
  <c r="E138" i="9"/>
  <c r="E150" i="9"/>
  <c r="E151" i="9"/>
  <c r="E152" i="9"/>
  <c r="E153" i="9"/>
  <c r="E160" i="9"/>
  <c r="E161" i="9"/>
  <c r="E162" i="9"/>
  <c r="E163" i="9"/>
  <c r="E164" i="9"/>
  <c r="E165" i="9"/>
  <c r="E166" i="9"/>
  <c r="E167" i="9"/>
  <c r="AJ169" i="9"/>
  <c r="F159" i="9"/>
  <c r="E159" i="9"/>
  <c r="G46" i="4"/>
  <c r="AN53" i="4"/>
  <c r="G70" i="4"/>
  <c r="G71" i="4"/>
  <c r="G74" i="4"/>
  <c r="G75" i="4"/>
  <c r="G78" i="4"/>
  <c r="G79" i="4"/>
  <c r="G81" i="4"/>
  <c r="G82" i="4"/>
  <c r="G83" i="4"/>
  <c r="G85" i="4"/>
  <c r="E95" i="9"/>
  <c r="E115" i="9"/>
  <c r="E141" i="9"/>
  <c r="AL154" i="4"/>
  <c r="AL155" i="4" s="1"/>
  <c r="F70" i="9"/>
  <c r="E45" i="9"/>
  <c r="F45" i="9" s="1"/>
  <c r="AH171" i="4" l="1"/>
  <c r="AI170" i="4"/>
  <c r="AK168" i="9"/>
  <c r="AL169" i="4" s="1"/>
  <c r="F83" i="9"/>
  <c r="F112" i="4"/>
  <c r="D20" i="9"/>
  <c r="AN19" i="4"/>
  <c r="E68" i="9"/>
  <c r="E99" i="9"/>
  <c r="F99" i="9" s="1"/>
  <c r="AN14" i="4"/>
  <c r="D18" i="9"/>
  <c r="D31" i="9"/>
  <c r="AN30" i="4"/>
  <c r="D48" i="9"/>
  <c r="AN47" i="4"/>
  <c r="D152" i="9"/>
  <c r="AN151" i="4"/>
  <c r="D81" i="9"/>
  <c r="AN80" i="4"/>
  <c r="D93" i="9"/>
  <c r="AN92" i="4"/>
  <c r="D126" i="9"/>
  <c r="D13" i="9"/>
  <c r="D37" i="9"/>
  <c r="AN36" i="4"/>
  <c r="D35" i="9"/>
  <c r="AN34" i="4"/>
  <c r="D108" i="9"/>
  <c r="AN107" i="4"/>
  <c r="D32" i="9"/>
  <c r="AN31" i="4"/>
  <c r="D125" i="9"/>
  <c r="AN124" i="4"/>
  <c r="D36" i="9"/>
  <c r="AN35" i="4"/>
  <c r="D131" i="9"/>
  <c r="AN130" i="4"/>
  <c r="D38" i="9"/>
  <c r="AN37" i="4"/>
  <c r="AN100" i="4"/>
  <c r="F104" i="4"/>
  <c r="D101" i="9"/>
  <c r="D33" i="9"/>
  <c r="AN32" i="4"/>
  <c r="D34" i="9"/>
  <c r="AN33" i="4"/>
  <c r="AN133" i="4"/>
  <c r="D134" i="9"/>
  <c r="D139" i="9" s="1"/>
  <c r="D107" i="9"/>
  <c r="D113" i="9" s="1"/>
  <c r="AN106" i="4"/>
  <c r="D153" i="9"/>
  <c r="AN152" i="4"/>
  <c r="D102" i="9"/>
  <c r="AN101" i="4"/>
  <c r="E168" i="9"/>
  <c r="D39" i="9"/>
  <c r="AN38" i="4"/>
  <c r="D40" i="9"/>
  <c r="AN39" i="4"/>
  <c r="D42" i="9"/>
  <c r="AN41" i="4"/>
  <c r="D43" i="9"/>
  <c r="AN42" i="4"/>
  <c r="D44" i="9"/>
  <c r="AN43" i="4"/>
  <c r="D19" i="9"/>
  <c r="AN18" i="4"/>
  <c r="D14" i="9"/>
  <c r="AN13" i="4"/>
  <c r="D17" i="9"/>
  <c r="AN16" i="4"/>
  <c r="AN28" i="4"/>
  <c r="F44" i="4"/>
  <c r="D29" i="9"/>
  <c r="AN134" i="4"/>
  <c r="F138" i="4"/>
  <c r="F6" i="9"/>
  <c r="F169" i="4"/>
  <c r="AJ157" i="4"/>
  <c r="AJ174" i="4" s="1"/>
  <c r="F131" i="4"/>
  <c r="F122" i="4"/>
  <c r="AN94" i="4"/>
  <c r="F98" i="4"/>
  <c r="F89" i="4"/>
  <c r="F67" i="4"/>
  <c r="AN5" i="4"/>
  <c r="F26" i="4"/>
  <c r="B174" i="4"/>
  <c r="AL173" i="4"/>
  <c r="D151" i="9"/>
  <c r="AN150" i="4"/>
  <c r="D12" i="9"/>
  <c r="AN11" i="4"/>
  <c r="D16" i="9"/>
  <c r="AN15" i="4"/>
  <c r="D30" i="9"/>
  <c r="AN29" i="4"/>
  <c r="D41" i="9"/>
  <c r="AN40" i="4"/>
  <c r="D22" i="9"/>
  <c r="AN21" i="4"/>
  <c r="D121" i="9"/>
  <c r="AN120" i="4"/>
  <c r="D63" i="9"/>
  <c r="AN62" i="4"/>
  <c r="D147" i="9"/>
  <c r="AN146" i="4"/>
  <c r="D146" i="9"/>
  <c r="AN145" i="4"/>
  <c r="D144" i="9"/>
  <c r="AN143" i="4"/>
  <c r="D143" i="9"/>
  <c r="AN142" i="4"/>
  <c r="D141" i="9"/>
  <c r="AN140" i="4"/>
  <c r="D128" i="9"/>
  <c r="AN127" i="4"/>
  <c r="D127" i="9"/>
  <c r="AN126" i="4"/>
  <c r="D117" i="9"/>
  <c r="AN116" i="4"/>
  <c r="D115" i="9"/>
  <c r="AN114" i="4"/>
  <c r="D86" i="9"/>
  <c r="AN85" i="4"/>
  <c r="D84" i="9"/>
  <c r="AN83" i="4"/>
  <c r="D83" i="9"/>
  <c r="AN82" i="4"/>
  <c r="D82" i="9"/>
  <c r="AN81" i="4"/>
  <c r="D80" i="9"/>
  <c r="AN79" i="4"/>
  <c r="D79" i="9"/>
  <c r="AN78" i="4"/>
  <c r="D76" i="9"/>
  <c r="AN75" i="4"/>
  <c r="D75" i="9"/>
  <c r="AN74" i="4"/>
  <c r="D72" i="9"/>
  <c r="AN71" i="4"/>
  <c r="D71" i="9"/>
  <c r="AN70" i="4"/>
  <c r="D70" i="9"/>
  <c r="AN69" i="4"/>
  <c r="D7" i="9"/>
  <c r="AN6" i="4"/>
  <c r="D10" i="9"/>
  <c r="AN9" i="4"/>
  <c r="D8" i="9"/>
  <c r="AN7" i="4"/>
  <c r="D9" i="9"/>
  <c r="AN8" i="4"/>
  <c r="D11" i="9"/>
  <c r="AN10" i="4"/>
  <c r="D73" i="9"/>
  <c r="AN72" i="4"/>
  <c r="D77" i="9"/>
  <c r="AN76" i="4"/>
  <c r="D78" i="9"/>
  <c r="AN77" i="4"/>
  <c r="D85" i="9"/>
  <c r="AN84" i="4"/>
  <c r="D87" i="9"/>
  <c r="AN86" i="4"/>
  <c r="D47" i="9"/>
  <c r="AN46" i="4"/>
  <c r="D129" i="9"/>
  <c r="AN128" i="4"/>
  <c r="D116" i="9"/>
  <c r="AN115" i="4"/>
  <c r="D142" i="9"/>
  <c r="AN141" i="4"/>
  <c r="D145" i="9"/>
  <c r="AN144" i="4"/>
  <c r="D148" i="9"/>
  <c r="AN147" i="4"/>
  <c r="D149" i="9"/>
  <c r="AN148" i="4"/>
  <c r="D74" i="9"/>
  <c r="AN73" i="4"/>
  <c r="D150" i="9"/>
  <c r="AN149" i="4"/>
  <c r="D6" i="9"/>
  <c r="D159" i="9"/>
  <c r="D54" i="9"/>
  <c r="AI156" i="9"/>
  <c r="AI170" i="9" s="1"/>
  <c r="E126" i="9"/>
  <c r="G125" i="4"/>
  <c r="AL154" i="9"/>
  <c r="AM153" i="4" s="1"/>
  <c r="G146" i="4"/>
  <c r="E147" i="9"/>
  <c r="G145" i="4"/>
  <c r="E146" i="9"/>
  <c r="G143" i="4"/>
  <c r="E144" i="9"/>
  <c r="G142" i="4"/>
  <c r="E143" i="9"/>
  <c r="G116" i="4"/>
  <c r="E117" i="9"/>
  <c r="D95" i="9"/>
  <c r="G148" i="4"/>
  <c r="E149" i="9"/>
  <c r="G147" i="4"/>
  <c r="E148" i="9"/>
  <c r="G144" i="4"/>
  <c r="E145" i="9"/>
  <c r="G141" i="4"/>
  <c r="E142" i="9"/>
  <c r="D138" i="4"/>
  <c r="G138" i="4" s="1"/>
  <c r="E134" i="9"/>
  <c r="E139" i="9" s="1"/>
  <c r="F139" i="9" s="1"/>
  <c r="G128" i="4"/>
  <c r="E129" i="9"/>
  <c r="G115" i="4"/>
  <c r="E116" i="9"/>
  <c r="D112" i="4"/>
  <c r="G112" i="4" s="1"/>
  <c r="E107" i="9"/>
  <c r="E113" i="9" s="1"/>
  <c r="F113" i="9" s="1"/>
  <c r="D104" i="4"/>
  <c r="G104" i="4" s="1"/>
  <c r="E101" i="9"/>
  <c r="E105" i="9" s="1"/>
  <c r="F105" i="9" s="1"/>
  <c r="AK169" i="9"/>
  <c r="F90" i="9"/>
  <c r="AL155" i="9"/>
  <c r="AM154" i="4" s="1"/>
  <c r="AM155" i="4" s="1"/>
  <c r="G140" i="4"/>
  <c r="D122" i="4"/>
  <c r="G122" i="4" s="1"/>
  <c r="G114" i="4"/>
  <c r="G94" i="4"/>
  <c r="D98" i="4"/>
  <c r="G98" i="4" s="1"/>
  <c r="D89" i="4"/>
  <c r="G89" i="4" s="1"/>
  <c r="G69" i="4"/>
  <c r="G53" i="4"/>
  <c r="D67" i="4"/>
  <c r="G67" i="4" s="1"/>
  <c r="D26" i="4"/>
  <c r="F27" i="9"/>
  <c r="AI171" i="4" l="1"/>
  <c r="AJ170" i="4"/>
  <c r="F68" i="9"/>
  <c r="AN153" i="4"/>
  <c r="E123" i="9"/>
  <c r="D105" i="9"/>
  <c r="AN138" i="4"/>
  <c r="AN112" i="4"/>
  <c r="D99" i="9"/>
  <c r="AN98" i="4"/>
  <c r="AN104" i="4"/>
  <c r="AN67" i="4"/>
  <c r="AN44" i="4"/>
  <c r="D132" i="9"/>
  <c r="D68" i="9"/>
  <c r="D27" i="9"/>
  <c r="E154" i="9"/>
  <c r="F154" i="9" s="1"/>
  <c r="D123" i="9"/>
  <c r="D154" i="9"/>
  <c r="D90" i="9"/>
  <c r="AK157" i="4"/>
  <c r="AK174" i="4" s="1"/>
  <c r="AM173" i="4"/>
  <c r="D45" i="9"/>
  <c r="AN26" i="4"/>
  <c r="AN89" i="4"/>
  <c r="AN122" i="4"/>
  <c r="AN131" i="4"/>
  <c r="F95" i="9"/>
  <c r="F115" i="9"/>
  <c r="F141" i="9"/>
  <c r="F116" i="9"/>
  <c r="F129" i="9"/>
  <c r="F142" i="9"/>
  <c r="F145" i="9"/>
  <c r="F148" i="9"/>
  <c r="F149" i="9"/>
  <c r="F117" i="9"/>
  <c r="F143" i="9"/>
  <c r="F144" i="9"/>
  <c r="F146" i="9"/>
  <c r="F147" i="9"/>
  <c r="F126" i="9"/>
  <c r="AJ156" i="9"/>
  <c r="AJ170" i="9" s="1"/>
  <c r="AL168" i="9"/>
  <c r="B158" i="9"/>
  <c r="B159" i="4" s="1"/>
  <c r="B169" i="4" s="1"/>
  <c r="G26" i="4"/>
  <c r="AJ171" i="4" l="1"/>
  <c r="AK170" i="4"/>
  <c r="AL169" i="9"/>
  <c r="AM169" i="4"/>
  <c r="F123" i="9"/>
  <c r="D155" i="9"/>
  <c r="AL157" i="4"/>
  <c r="AL174" i="4" s="1"/>
  <c r="AK156" i="9"/>
  <c r="AK170" i="9" s="1"/>
  <c r="B168" i="9"/>
  <c r="B170" i="9" s="1"/>
  <c r="B171" i="4"/>
  <c r="AK171" i="4" l="1"/>
  <c r="AL170" i="4"/>
  <c r="F168" i="9"/>
  <c r="AM157" i="4"/>
  <c r="AM174" i="4" s="1"/>
  <c r="AL156" i="9"/>
  <c r="AL170" i="9" s="1"/>
  <c r="F158" i="9"/>
  <c r="AL171" i="4" l="1"/>
  <c r="AM170" i="4"/>
  <c r="E127" i="9"/>
  <c r="D131" i="4"/>
  <c r="E128" i="9"/>
  <c r="E132" i="9" s="1"/>
  <c r="G126" i="4"/>
  <c r="F127" i="9" s="1"/>
  <c r="G127" i="4"/>
  <c r="F128" i="9" s="1"/>
  <c r="B170" i="4" l="1"/>
  <c r="AM171" i="4"/>
  <c r="E155" i="9"/>
  <c r="G131" i="4"/>
  <c r="D157" i="4"/>
  <c r="D156" i="4"/>
  <c r="F132" i="9"/>
  <c r="F155" i="9" l="1"/>
  <c r="E170" i="9"/>
  <c r="F170" i="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<sst xmlns="http://schemas.openxmlformats.org/spreadsheetml/2006/main" count="299" uniqueCount="231">
  <si>
    <t>Advogado/Jurídico</t>
  </si>
  <si>
    <t>Orçado</t>
  </si>
  <si>
    <t>Em atraso</t>
  </si>
  <si>
    <t>Realizado Acum.</t>
  </si>
  <si>
    <t>Rendas</t>
  </si>
  <si>
    <t>% mês==&gt;</t>
  </si>
  <si>
    <t xml:space="preserve"> e acumulado</t>
  </si>
  <si>
    <t>Dia Vencimento</t>
  </si>
  <si>
    <t xml:space="preserve">DESCRIÇÃO       </t>
  </si>
  <si>
    <t xml:space="preserve">    Para otimizar visualização de </t>
  </si>
  <si>
    <t xml:space="preserve">    gráficos usar zoom de 55% </t>
  </si>
  <si>
    <t>Totais</t>
  </si>
  <si>
    <t>R/O</t>
  </si>
  <si>
    <t xml:space="preserve"> DIAS NO MÊS  ==&gt;</t>
  </si>
  <si>
    <t>Despesas acumuladas (Plan2)</t>
  </si>
  <si>
    <t>Total acumulado rendas-despesas</t>
  </si>
  <si>
    <t>Renda Acumulada (Plan2)</t>
  </si>
  <si>
    <t>Totais Gerais (Plan2)</t>
  </si>
  <si>
    <t>Totais (Plan2)</t>
  </si>
  <si>
    <t>JUNHO</t>
  </si>
  <si>
    <t xml:space="preserve">      DESCRIÇÃO       </t>
  </si>
  <si>
    <t>ATRASO</t>
  </si>
  <si>
    <t>PAGO</t>
  </si>
  <si>
    <t>PESSOAL</t>
  </si>
  <si>
    <t>-</t>
  </si>
  <si>
    <t>TUTORIAL</t>
  </si>
  <si>
    <t>DIA</t>
  </si>
  <si>
    <t xml:space="preserve">DIA </t>
  </si>
  <si>
    <t xml:space="preserve">    HOJE &gt;&gt;&gt;&gt;&gt;&gt;&gt;</t>
  </si>
  <si>
    <t xml:space="preserve">  DIAS MÊS &gt;&gt;&gt;</t>
  </si>
  <si>
    <t>A PAGAR</t>
  </si>
  <si>
    <t xml:space="preserve">     PAGAMENTOS</t>
  </si>
  <si>
    <t xml:space="preserve">   PREENCHER APENAS CÉLULAS COM FUNDO AZUL</t>
  </si>
  <si>
    <t>5. Insira a descrição desejada da categoria de gastos na célula azul escuro, neste exemplo "GRUPO 1", "GRUPO 2", "GRUPO 3", etc.</t>
  </si>
  <si>
    <t>Seguro Médico</t>
  </si>
  <si>
    <t>Seguro carro</t>
  </si>
  <si>
    <t>PAGAR  500,00</t>
  </si>
  <si>
    <t>PAGAR  200,00</t>
  </si>
  <si>
    <t>P/AP</t>
  </si>
  <si>
    <t>RECEBÍVEIS</t>
  </si>
  <si>
    <t xml:space="preserve">tem por base as datas de vencimento e não as datas dos pagamentos, mantendo fixa a visualização das obrigações (ou recebíveis) nas datas planejadas. </t>
  </si>
  <si>
    <t>PRESTAÇÕES</t>
  </si>
  <si>
    <t>Compra do carro</t>
  </si>
  <si>
    <t>Compra do carro (maio - atraso)</t>
  </si>
  <si>
    <t xml:space="preserve">           DESPESAS</t>
  </si>
  <si>
    <t xml:space="preserve">        PAGAMENTOS</t>
  </si>
  <si>
    <t xml:space="preserve">          DESPESAS</t>
  </si>
  <si>
    <t xml:space="preserve">19. Em caso de subtração de linhas, as mesmas linhas devem ser subtraídas igualmente nas duas planilhas "DESP_MODELO" e "PLAN2" (senha para desbloqueio das planilhas: 123456).  </t>
  </si>
  <si>
    <t xml:space="preserve">12. Em caso de pagamento na data de vencimento,  o aviso de "PAGAR 500" é sobreposto pelo do valor do pagamento (R$ 400,00). </t>
  </si>
  <si>
    <t>2. Somente as células com fundo azul podem ser preenchidas.</t>
  </si>
  <si>
    <t>MORADIA</t>
  </si>
  <si>
    <t>PRESTAÇÕES/EMPRÉSTIMOS</t>
  </si>
  <si>
    <t>ADVOGADO/JURÍDICO</t>
  </si>
  <si>
    <t>PAGAMENTO DE SALÁRIOS</t>
  </si>
  <si>
    <t>IMPOSTOS</t>
  </si>
  <si>
    <t>EXTRAS EMPRESA</t>
  </si>
  <si>
    <t xml:space="preserve">3. Insira o mês e ano. A planilha calcula o total de "DIAS MÊS" e apresenta o dia de "HOJE". </t>
  </si>
  <si>
    <t>4. Com mês e ano inseridos,  a planilha automaticamente indica os dias da semana e colore de rosa os fins de semana na grade de dias do mês, à direita.</t>
  </si>
  <si>
    <t xml:space="preserve">6. Insira a descrição da despesa, o valor do mês a ser pago na coluna "'A PAGAR", seu vencimento em "DIA" e, após o pagamento, o valor pago em "PAGO"e respectiva  data em "DIA". </t>
  </si>
  <si>
    <t xml:space="preserve">7. A planilha alerta na grade de dias, nas datas de vencimento, que o pagamento deve ser feito -- "PAGAR XXXX". </t>
  </si>
  <si>
    <t>8. No dia 4, quando o pagamento é realizado e inserido na coluna "PAGO", o valor é automaticamente inserido na grade de dias do mês, no dia e linha correspondentes.</t>
  </si>
  <si>
    <t xml:space="preserve">9. Como o pagamento de R$ 400,00 foi a menor, o  valor R$ 100,00 aparece na coluna "ATRASO". </t>
  </si>
  <si>
    <t>10. Com isso a porcentagem na coluna P/AP (PAGO/A PAGAR) fica em  80% e a célula fica rosada para alertar atraso / pagamento a menor / erro de inserção.</t>
  </si>
  <si>
    <t>11. O aviso "PAGAR 500" no dia de vencimento permanece, mesmo com o pagamento de R$ 400,00 no dia 4, evidenciando o pagamento adiantado ou atrasado na grade de dias.</t>
  </si>
  <si>
    <t xml:space="preserve">13. Para fins dos gráficos de previsão de despesas, o valor de R$ 500,00 é somado na na linha "Totais (Plan2)" na data de vencimento. A soma das despesas nos totais diários </t>
  </si>
  <si>
    <t>15. Os recebíveis variados diários mencionados no item (14) estão assumidos nos sábados como sendo metade dos valores de segunda a sexta e como sendo zero nos domingos.</t>
  </si>
  <si>
    <r>
      <t xml:space="preserve">                                       (17B) </t>
    </r>
    <r>
      <rPr>
        <sz val="12"/>
        <color theme="1"/>
        <rFont val="Calibri"/>
        <family val="2"/>
        <scheme val="minor"/>
      </rPr>
      <t>Alterar o mês nessa nova planilha e adicionar ou retirar dados / despesas / datas conforme necessário, mantendo as despesas recorrentes;</t>
    </r>
  </si>
  <si>
    <r>
      <t xml:space="preserve">                                       </t>
    </r>
    <r>
      <rPr>
        <b/>
        <sz val="12"/>
        <color theme="1"/>
        <rFont val="Calibri"/>
        <family val="2"/>
        <scheme val="minor"/>
      </rPr>
      <t>(17C)</t>
    </r>
    <r>
      <rPr>
        <sz val="12"/>
        <color theme="1"/>
        <rFont val="Calibri"/>
        <family val="2"/>
        <scheme val="minor"/>
      </rPr>
      <t xml:space="preserve"> Repetir o item (17) a cada fim de mês.</t>
    </r>
  </si>
  <si>
    <t>JUROS E MULTA</t>
  </si>
  <si>
    <t>BOLETOS VENC.</t>
  </si>
  <si>
    <r>
      <t xml:space="preserve">17. PASSOS INICIAIS: 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(16A)</t>
    </r>
    <r>
      <rPr>
        <sz val="12"/>
        <color theme="1"/>
        <rFont val="Calibri"/>
        <family val="2"/>
        <scheme val="minor"/>
      </rPr>
      <t xml:space="preserve"> Alterar as categorias de custos conforme mais adequado para cada usuário;</t>
    </r>
  </si>
  <si>
    <r>
      <t xml:space="preserve">18.  MÊS SEGUINTE:    (17A) </t>
    </r>
    <r>
      <rPr>
        <sz val="12"/>
        <color theme="1"/>
        <rFont val="Calibri"/>
        <family val="2"/>
        <scheme val="minor"/>
      </rPr>
      <t>Uma vez findo o mês, salvar adicionalmente a planilha do mês presente (DESP_JUNHO) como a do mês seguinte (DESP_JULHO);</t>
    </r>
  </si>
  <si>
    <t>Despesas efetivas pagas</t>
  </si>
  <si>
    <t>Despesas efetivas pagas acumuladas</t>
  </si>
  <si>
    <t>Rendas efetivas em conta</t>
  </si>
  <si>
    <t>Rendas efetivas em conta acum.</t>
  </si>
  <si>
    <t>Total de despesas previstas (Plan 2)</t>
  </si>
  <si>
    <t>MÉDIA RECEBÍVEIS SEG-SEX</t>
  </si>
  <si>
    <t>3. Insira as descrições das despesas em suas categorias, com os respectivos valores e dias de</t>
  </si>
  <si>
    <t xml:space="preserve"> A RECEBER</t>
  </si>
  <si>
    <t>D+1? S/N</t>
  </si>
  <si>
    <t>TOTAL MENSAL &gt;&gt;&gt;&gt;&gt;&gt;&gt;&gt;&gt;&gt;&gt;&gt;&gt;&gt;&gt;&gt;&gt;&gt;&gt;&gt;&gt;&gt;</t>
  </si>
  <si>
    <t>&lt;&lt;&lt;&lt;&lt;&lt;&lt;</t>
  </si>
  <si>
    <t>INSERINDO OS VALORES EFETIVOS DE DESPESAS E RECEBÍVEIS</t>
  </si>
  <si>
    <t>3. Após inserir os pagamentos e respectivas datas esses valores aparecem no calendário, mas sem</t>
  </si>
  <si>
    <t xml:space="preserve">5. Após o vencimento, as despesas sem pagamento, ou pagas parcialmente, aparecem com fundo </t>
  </si>
  <si>
    <t>6. Valores pagos acima da despesa prevista, a diferença aparece como negativa na coluna "ATRASO",</t>
  </si>
  <si>
    <t>COMO LER OS GRÁFICOS</t>
  </si>
  <si>
    <t>ADICIONANDO OU RETIRANDO LINHAS DA PLANILHA</t>
  </si>
  <si>
    <t>1. Apenas as células com fundo azul podem ter inserções de dados, as restantes estão</t>
  </si>
  <si>
    <t>3. Para aumentar ou retirar linhas, altere apenas as linhas internas de cada categoria. Para</t>
  </si>
  <si>
    <t>INSERINDO O PLANEJAMENTO DAS DESPESAS</t>
  </si>
  <si>
    <t>1. Insira o mês e o ano a planejar: 1.1- O total de dias do mês irá aparecer em "DIAS MÊS";  1.2 -</t>
  </si>
  <si>
    <t>2. Insira as categorias de despesas de seu uso nas células em azul escuro.</t>
  </si>
  <si>
    <t>INSERINDO O PLANEJAMENTO DOS RECEBÍVEIS EM CONTA</t>
  </si>
  <si>
    <t>1. Na última categoria, entre linhas com fundo verde, inserir os valores estimados de recebíveis</t>
  </si>
  <si>
    <t xml:space="preserve">2. Caso exista faturamento diário de vendas ou serviços, inserir o valor médio diário do </t>
  </si>
  <si>
    <t xml:space="preserve">3. Calibre o valor médio diário na célula indicada por "&lt;&lt;&lt;&lt;&lt;&lt;&lt;&lt; MÉDIA RECEBÍVEIS SEG-SEX" </t>
  </si>
  <si>
    <t>1. À medida em que os pagamentos e recebíveis ocorrem, insira esses valores realizados nas datas</t>
  </si>
  <si>
    <t>2. No caso de recebimentos diários de vendas ou serviços, insira os valores efetivamente</t>
  </si>
  <si>
    <t>COMO O CALENDÁRIO SE ATUALIZA APÓS INSERÇÃO DAS DESPESAS E RECEBÍVEIS</t>
  </si>
  <si>
    <t>4. Antes do vencimento, as despesas sem pagamento mostram a coluna P/AP (pago/a pagar</t>
  </si>
  <si>
    <t>2. O gráfico "DESPESAS POR TIPO" mostra as despesas previstas, por categoria, nas respectivas datas,</t>
  </si>
  <si>
    <t>1. Despesas aparecem nas datas de vencimento previstas como "PAGAR XXXXXX".</t>
  </si>
  <si>
    <t>2. Recebíveis aparecem nas datas de recebimento previstas como "RECEBER XXXXXX".</t>
  </si>
  <si>
    <t>2. Para desproteger a planilha, se necessário aumentar ou retirar linhas, a senha é 123456.</t>
  </si>
  <si>
    <t xml:space="preserve">     protegidas, por incluírem fórmulas.</t>
  </si>
  <si>
    <t xml:space="preserve">     em conta pontuais, como por exemplo o valor e data planejados para receber a venda de um</t>
  </si>
  <si>
    <t xml:space="preserve">     veículo, o valor e data de um serviço a realizar, valores e datas de boletos a receber, etc.</t>
  </si>
  <si>
    <t xml:space="preserve">     faturamento mensal estimado. Na mesma linha, no calendário, esse faturamento diário  irá</t>
  </si>
  <si>
    <t xml:space="preserve">     aparecer nos dias úteis  da semana, X%  desse valor aos sábados e Y% aos domingos, ...</t>
  </si>
  <si>
    <t xml:space="preserve">     nas porcentagens inseridas nas células nos lados direito e esquerdo de "&lt;&lt;&lt;SÁB..DOM&gt;&gt;&gt;", caso</t>
  </si>
  <si>
    <t xml:space="preserve">     existam recebíveis em conta nesses dias (pagamentos via PIX, por exemplo). Nos casos em que </t>
  </si>
  <si>
    <t xml:space="preserve">     o faturamento de sexta-feira e sábado sejam depositados na segunda-feira (adiantamento de</t>
  </si>
  <si>
    <t xml:space="preserve">     cartões D+1), insira "S" na célula abaixo de "D+1 ? S/N" e o recebível em conta nas segundas-feiras</t>
  </si>
  <si>
    <t xml:space="preserve">     de modo que o total mensal seja o valor estimado do mês.</t>
  </si>
  <si>
    <t xml:space="preserve">     rosa escuro e o valor não pago aparece na coluna "ATRASO".</t>
  </si>
  <si>
    <t xml:space="preserve">     indicando que houve multa e juros. Os negativos na coluna "ATRASO" aparecem em separado</t>
  </si>
  <si>
    <t xml:space="preserve">     na última coluna, e sua soma mostra a despesa mensal com juros e multa.</t>
  </si>
  <si>
    <t xml:space="preserve">     valores previstos acumulados. O valores efetivos aparecem em barras de mesmas cores, porém mais</t>
  </si>
  <si>
    <t xml:space="preserve">     claras, junto às barras das despesas previstas, para acompanhamento previsto x realizado.</t>
  </si>
  <si>
    <t xml:space="preserve">     cada categoria com uma cor específica, em gráfico de barras empilhadas.</t>
  </si>
  <si>
    <t xml:space="preserve">     a porcentagem aparece menor do que 100% e a célula permanece com fundo amarelo.</t>
  </si>
  <si>
    <t xml:space="preserve">     como 0% e a célula fica amarela. Dependendo do valor pago, se menor do que a respectiva despesa,  </t>
  </si>
  <si>
    <t xml:space="preserve">      no calendário os atrasos ou adiantamentos, tanto das despesas quanto dos recebíveis.</t>
  </si>
  <si>
    <t xml:space="preserve">      exclusão do respectivo "PAGAR XXXXXX" na data do vencimento. Dessa forma é possível visualizar</t>
  </si>
  <si>
    <t xml:space="preserve">     depositados em conta na antepenúltima linha da planilha "Rendas efetivas em conta".</t>
  </si>
  <si>
    <t xml:space="preserve">     de ocorrência nas colunas "PAGO" e "DIA" (ou "RECEBIDO" e "DIA" no caso de recebíveis).</t>
  </si>
  <si>
    <t xml:space="preserve">     O dia presente irá aparecer em "HOJE"; 1.3 - Os dias da semana irão aparecer na primeira linha</t>
  </si>
  <si>
    <t xml:space="preserve">     do calendário móvel à direita; 1.4 - Os fins de semana irão aparecer em fundo rosa, para </t>
  </si>
  <si>
    <t xml:space="preserve">     facilitar a visualização de cada semana.</t>
  </si>
  <si>
    <t xml:space="preserve">     pagamento.</t>
  </si>
  <si>
    <t xml:space="preserve">  &lt;&lt;&lt; SÁB..DOM &gt;&gt;&gt;</t>
  </si>
  <si>
    <r>
      <t xml:space="preserve">                                       (16B) </t>
    </r>
    <r>
      <rPr>
        <sz val="12"/>
        <color theme="1"/>
        <rFont val="Calibri"/>
        <family val="2"/>
        <scheme val="minor"/>
      </rPr>
      <t>Salvar uma cópia do arquivo sem dados de despesas, como backup;</t>
    </r>
  </si>
  <si>
    <t>N</t>
  </si>
  <si>
    <t>Sulamerica</t>
  </si>
  <si>
    <t>Netflix - cartão</t>
  </si>
  <si>
    <t>Cartão</t>
  </si>
  <si>
    <t>Apple - Cartão</t>
  </si>
  <si>
    <t>Google One IA - Cartão</t>
  </si>
  <si>
    <t>Yelum Seguro Civic - Cartão</t>
  </si>
  <si>
    <t>Apple.com - Cartão</t>
  </si>
  <si>
    <t>Google Adobe - Cartão</t>
  </si>
  <si>
    <t>Microsoft Office - Cartão</t>
  </si>
  <si>
    <t>JANEIRO</t>
  </si>
  <si>
    <t>S</t>
  </si>
  <si>
    <t>Seguro Vida Presente 16</t>
  </si>
  <si>
    <t>Seguro Vida Presente 21</t>
  </si>
  <si>
    <t>Seguro Previdência VGBL 21</t>
  </si>
  <si>
    <t>Claro Reserva</t>
  </si>
  <si>
    <t>Vivo Lago</t>
  </si>
  <si>
    <t>IPTU Lago 003226 pedir parcelamento</t>
  </si>
  <si>
    <t>CPFL Reserva</t>
  </si>
  <si>
    <t>IPTU Reserva</t>
  </si>
  <si>
    <t>Condomínio Reserva - 3 em atraso</t>
  </si>
  <si>
    <t>Condomínio Reserva (Nelson58@)</t>
  </si>
  <si>
    <t>Condomínio Lago  30/12</t>
  </si>
  <si>
    <t>Condomínio Reserva - 5 a parcelar - aprox</t>
  </si>
  <si>
    <t>Naturgy - estimado</t>
  </si>
  <si>
    <t>Condomínio Lago  01/09 aprox.(03/11 BBZ)</t>
  </si>
  <si>
    <t>CPFL Ágata</t>
  </si>
  <si>
    <t>Condomínio Sta Rita</t>
  </si>
  <si>
    <t xml:space="preserve">Caixa Penhor 20/02 R$ </t>
  </si>
  <si>
    <t>Itaú - débito auto (6/37x) 5% 50k</t>
  </si>
  <si>
    <t>Itaú - pron. débito auto (6/24x) 1,6% 150k</t>
  </si>
  <si>
    <t>ACORDOS</t>
  </si>
  <si>
    <t>5asec (22/22 parcelas)</t>
  </si>
  <si>
    <t>5asec advogados (22/22parcelas)</t>
  </si>
  <si>
    <t>Letízio ?/36</t>
  </si>
  <si>
    <t>Letízio mensal</t>
  </si>
  <si>
    <t>Fernando</t>
  </si>
  <si>
    <t>Frees + R$400 Josiane</t>
  </si>
  <si>
    <t>Parcela IR 4lock até 2024</t>
  </si>
  <si>
    <t>Parcela IRPF Rosely?</t>
  </si>
  <si>
    <t>Parcela IRPF Claudio?</t>
  </si>
  <si>
    <t>Barão Aluguel</t>
  </si>
  <si>
    <t>4 Lock -- folha</t>
  </si>
  <si>
    <t>Perfecto -- folha</t>
  </si>
  <si>
    <t>4 Lock -- adiant</t>
  </si>
  <si>
    <t>Perfecto -- adiant</t>
  </si>
  <si>
    <t xml:space="preserve">CPFL Sunset </t>
  </si>
  <si>
    <t>CPFL Barão</t>
  </si>
  <si>
    <t>AGDES Reserva</t>
  </si>
  <si>
    <t>EXTRAS ENERGIA EMPRESA AGDES</t>
  </si>
  <si>
    <t>CPFL Sunset (15/12)</t>
  </si>
  <si>
    <t>ACGDES Barão</t>
  </si>
  <si>
    <t>ACGDES Sunset</t>
  </si>
  <si>
    <t>US retirement</t>
  </si>
  <si>
    <t>BR retirement</t>
  </si>
  <si>
    <t>Telhanorte  Aluguel</t>
  </si>
  <si>
    <t>Sunset Aluguel</t>
  </si>
  <si>
    <t>Boa Vista Aluguel</t>
  </si>
  <si>
    <t>Escritório Aluguel</t>
  </si>
  <si>
    <t>EXTRA EMPRESA</t>
  </si>
  <si>
    <t>Água Barão</t>
  </si>
  <si>
    <t>Cristiane</t>
  </si>
  <si>
    <t>Francisca</t>
  </si>
  <si>
    <t>Convênio Tina</t>
  </si>
  <si>
    <t>Bônus Adriano</t>
  </si>
  <si>
    <t>Bônus Tamara</t>
  </si>
  <si>
    <t>Clayton manutenção</t>
  </si>
  <si>
    <t>VA 5 anos</t>
  </si>
  <si>
    <t>VA normal</t>
  </si>
  <si>
    <t>CPFL Plátamo</t>
  </si>
  <si>
    <t>Result</t>
  </si>
  <si>
    <t>Contabilidade</t>
  </si>
  <si>
    <t>Lucas VA 5 anos e normal</t>
  </si>
  <si>
    <t xml:space="preserve">VT </t>
  </si>
  <si>
    <t>VT</t>
  </si>
  <si>
    <t>O RESUMO MENSAL</t>
  </si>
  <si>
    <t xml:space="preserve">O acompanhamento dos pagamentos do mês pode ser feito por partes, semanalmente, para categorias específicas de despesas, não sendo </t>
  </si>
  <si>
    <t>possível visualizar todas as categorias ou todos os dias do mês simultaneamente, devido ao extenso número de linhas e todas as 31</t>
  </si>
  <si>
    <t>Totais de  renda prevista</t>
  </si>
  <si>
    <t>Renda Acumulada Prevista</t>
  </si>
  <si>
    <t>Total acum. rendas-despesas previstas</t>
  </si>
  <si>
    <t>Total acum. efetivo rendas-despesas</t>
  </si>
  <si>
    <t>Despesas previstas acumuladas</t>
  </si>
  <si>
    <t>Despesas previstas total geral</t>
  </si>
  <si>
    <t>1. A planilha oculta PLAN2 não deve ser alterada, é apenas suporte de cálculos da planilha DESP_XXX(MÊS) -- exceto se adicionadas ou subtraídas linhas de DESP__XXX(MÊS). Vide (18) e (19)</t>
  </si>
  <si>
    <t xml:space="preserve">18. Para adição de linhas internas às categorias, a mesma linha deve ser copiada igualmente nas duas planilhas "DESP_XXX(MÊS)" e "PLAN2".    </t>
  </si>
  <si>
    <t>A RECEBER/DIA</t>
  </si>
  <si>
    <t>14. A antepenúltima linha "Rendas efetivas em conta"se refere a recebíveis variados diários, como vendas, e uma média diária pode ser usada (ex.: R$2.000,00 por dia na coluna "A RECEBER/DIA").</t>
  </si>
  <si>
    <t>16. Caso os valores efetivamente pagos sejam inseridos, nos casos de pagamentos com atraso, os acréscimos de juros e multa aparecerão na última coluna.</t>
  </si>
  <si>
    <t>20. Em caso de pagamentos em atraso de meses anteriores, adicionar linha com a mesma descrição, com texto (atraso - mês xxxx) e data como dia 1 do mês. Dessa forma o valor aparecerá</t>
  </si>
  <si>
    <t>como atraso já no dia 1 do mês, alertando o atraso desde o início do mês e adicionando essa despesa na carga do mês presente. Dia "0" é descrição/valor futuro apenas para conhecimento.</t>
  </si>
  <si>
    <t xml:space="preserve">colunas dos dias do mês. Para uma visão geral resumida dos pagamentos do mês, a planilha resume todos os pagamentos de cada dia </t>
  </si>
  <si>
    <t>nas células AP2 a AU58, dia a dia.</t>
  </si>
  <si>
    <t xml:space="preserve">    adicionar linhas basta copiar uma linha completa, com fórmulas e formatos, mas isso deve ser .</t>
  </si>
  <si>
    <t xml:space="preserve">    feito igualmente nas planilhas DESP_XXX(MÊS) e PLAN2, nas mesmas posições.</t>
  </si>
  <si>
    <t xml:space="preserve">     irá aparecer como a soma dos faturamentos de sexta, sábado e domingo.</t>
  </si>
  <si>
    <t>1. O gráfico DESPESA, RENDA, SALDO ACUMULADOS - PREVISTO E EFETIVO mostra nas barras de cor mais escuras 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</si>
</sst>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dd"/>
    <numFmt numFmtId="165" formatCode="[$-416]d;@"/>
    <numFmt numFmtId="166" formatCode="#,##0.00_ ;\-#,##0.00\ "/>
    <numFmt numFmtId="167" formatCode="#,##0_ ;\-#,##0\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1"/>
      <name val="Arial Rounded MT Bold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Gray">
        <bgColor theme="5" tint="0.59999389629810485"/>
      </patternFill>
    </fill>
    <fill>
      <patternFill patternType="solid">
        <fgColor theme="4" tint="0.59999389629810485"/>
        <bgColor indexed="64"/>
      </patternFill>
    </fill>
    <fill>
      <patternFill patternType="gray125">
        <bgColor theme="1"/>
      </patternFill>
    </fill>
    <fill>
      <patternFill patternType="gray125">
        <bgColor theme="7" tint="0.79998168889431442"/>
      </patternFill>
    </fill>
    <fill>
      <patternFill patternType="gray125">
        <bgColor theme="4" tint="0.79998168889431442"/>
      </patternFill>
    </fill>
    <fill>
      <patternFill patternType="gray125">
        <bgColor theme="9" tint="0.59999389629810485"/>
      </patternFill>
    </fill>
    <fill>
      <patternFill patternType="gray125">
        <bgColor rgb="FFFFFF00"/>
      </patternFill>
    </fill>
    <fill>
      <patternFill patternType="gray125">
        <bgColor theme="5" tint="0.59999389629810485"/>
      </patternFill>
    </fill>
    <fill>
      <patternFill patternType="gray125">
        <bgColor theme="0"/>
      </patternFill>
    </fill>
    <fill>
      <patternFill patternType="gray125">
        <bgColor theme="9" tint="0.39997558519241921"/>
      </patternFill>
    </fill>
    <fill>
      <patternFill patternType="gray125">
        <bgColor auto="1"/>
      </patternFill>
    </fill>
    <fill>
      <patternFill patternType="solid">
        <fgColor indexed="65"/>
        <bgColor indexed="64"/>
      </patternFill>
    </fill>
    <fill>
      <patternFill patternType="gray125">
        <bgColor theme="7" tint="0.79995117038483843"/>
      </patternFill>
    </fill>
    <fill>
      <patternFill patternType="gray125">
        <bgColor theme="9" tint="0.39994506668294322"/>
      </patternFill>
    </fill>
    <fill>
      <patternFill patternType="solid">
        <fgColor theme="9" tint="0.59999389629810485"/>
        <bgColor indexed="64"/>
      </patternFill>
    </fill>
    <fill>
      <patternFill patternType="lightGray"/>
    </fill>
    <fill>
      <patternFill patternType="lightGray">
        <bgColor theme="1"/>
      </patternFill>
    </fill>
    <fill>
      <patternFill patternType="solid">
        <fgColor rgb="FFBDFFFF"/>
        <bgColor indexed="64"/>
      </patternFill>
    </fill>
    <fill>
      <patternFill patternType="solid">
        <fgColor rgb="FF97FFFF"/>
        <bgColor indexed="64"/>
      </patternFill>
    </fill>
    <fill>
      <patternFill patternType="solid">
        <fgColor rgb="FFFBCDC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lightGray">
        <bgColor theme="7" tint="0.59999389629810485"/>
      </patternFill>
    </fill>
    <fill>
      <patternFill patternType="solid">
        <fgColor rgb="FF9DEFFF"/>
        <bgColor indexed="64"/>
      </patternFill>
    </fill>
    <fill>
      <patternFill patternType="lightGray">
        <bgColor theme="9" tint="0.59999389629810485"/>
      </patternFill>
    </fill>
    <fill>
      <patternFill patternType="solid">
        <fgColor rgb="FFA7FBFF"/>
        <bgColor indexed="64"/>
      </patternFill>
    </fill>
    <fill>
      <patternFill patternType="solid">
        <fgColor rgb="FF8EC8FC"/>
        <bgColor indexed="64"/>
      </patternFill>
    </fill>
    <fill>
      <patternFill patternType="solid">
        <fgColor rgb="FFBEE6FE"/>
        <bgColor indexed="64"/>
      </patternFill>
    </fill>
    <fill>
      <patternFill patternType="solid">
        <fgColor rgb="FF59F9E6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mediumDashed">
        <color auto="1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4">
    <xf numFmtId="0" fontId="0" fillId="0" borderId="0" xfId="0"/>
    <xf numFmtId="9" fontId="0" fillId="0" borderId="1" xfId="3" applyFont="1" applyBorder="1" applyAlignment="1" applyProtection="1">
      <alignment horizontal="center"/>
    </xf>
    <xf numFmtId="44" fontId="0" fillId="7" borderId="1" xfId="2" applyFont="1" applyFill="1" applyBorder="1" applyProtection="1"/>
    <xf numFmtId="9" fontId="0" fillId="7" borderId="1" xfId="3" applyFont="1" applyFill="1" applyBorder="1" applyAlignment="1" applyProtection="1">
      <alignment horizontal="center"/>
    </xf>
    <xf numFmtId="9" fontId="0" fillId="4" borderId="1" xfId="3" applyFont="1" applyFill="1" applyBorder="1" applyAlignment="1" applyProtection="1">
      <alignment horizontal="center"/>
    </xf>
    <xf numFmtId="9" fontId="0" fillId="6" borderId="1" xfId="3" applyFont="1" applyFill="1" applyBorder="1" applyAlignment="1" applyProtection="1">
      <alignment horizontal="center"/>
    </xf>
    <xf numFmtId="44" fontId="0" fillId="7" borderId="2" xfId="2" applyFont="1" applyFill="1" applyBorder="1" applyProtection="1"/>
    <xf numFmtId="44" fontId="0" fillId="8" borderId="0" xfId="2" applyFont="1" applyFill="1" applyBorder="1" applyProtection="1"/>
    <xf numFmtId="9" fontId="0" fillId="8" borderId="0" xfId="3" applyFont="1" applyFill="1" applyBorder="1" applyAlignment="1" applyProtection="1">
      <alignment horizontal="center"/>
    </xf>
    <xf numFmtId="44" fontId="0" fillId="8" borderId="0" xfId="2" applyFont="1" applyFill="1" applyProtection="1"/>
    <xf numFmtId="14" fontId="0" fillId="0" borderId="0" xfId="0" applyNumberFormat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2" borderId="1" xfId="0" applyFill="1" applyBorder="1"/>
    <xf numFmtId="9" fontId="0" fillId="6" borderId="1" xfId="0" applyNumberFormat="1" applyFill="1" applyBorder="1" applyAlignment="1">
      <alignment horizontal="center"/>
    </xf>
    <xf numFmtId="49" fontId="0" fillId="0" borderId="0" xfId="0" applyNumberFormat="1"/>
    <xf numFmtId="9" fontId="7" fillId="6" borderId="1" xfId="3" applyFont="1" applyFill="1" applyBorder="1" applyAlignment="1" applyProtection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9" fontId="0" fillId="11" borderId="1" xfId="3" applyFont="1" applyFill="1" applyBorder="1" applyAlignment="1" applyProtection="1">
      <alignment horizontal="center"/>
    </xf>
    <xf numFmtId="0" fontId="0" fillId="1" borderId="0" xfId="0" applyFill="1"/>
    <xf numFmtId="9" fontId="0" fillId="13" borderId="1" xfId="3" applyFont="1" applyFill="1" applyBorder="1" applyAlignment="1" applyProtection="1">
      <alignment horizontal="center"/>
    </xf>
    <xf numFmtId="14" fontId="0" fillId="1" borderId="0" xfId="0" applyNumberFormat="1" applyFill="1"/>
    <xf numFmtId="3" fontId="0" fillId="14" borderId="1" xfId="0" applyNumberFormat="1" applyFill="1" applyBorder="1" applyAlignment="1">
      <alignment horizontal="center"/>
    </xf>
    <xf numFmtId="1" fontId="0" fillId="1" borderId="0" xfId="0" applyNumberFormat="1" applyFill="1" applyAlignment="1">
      <alignment horizontal="center"/>
    </xf>
    <xf numFmtId="0" fontId="0" fillId="1" borderId="1" xfId="0" applyFill="1" applyBorder="1" applyAlignment="1">
      <alignment horizontal="center"/>
    </xf>
    <xf numFmtId="0" fontId="4" fillId="15" borderId="1" xfId="0" applyFont="1" applyFill="1" applyBorder="1" applyAlignment="1">
      <alignment horizontal="left"/>
    </xf>
    <xf numFmtId="0" fontId="4" fillId="15" borderId="1" xfId="0" applyFont="1" applyFill="1" applyBorder="1" applyAlignment="1">
      <alignment horizontal="center"/>
    </xf>
    <xf numFmtId="0" fontId="0" fillId="16" borderId="1" xfId="0" applyFill="1" applyBorder="1"/>
    <xf numFmtId="0" fontId="0" fillId="16" borderId="1" xfId="0" applyFill="1" applyBorder="1" applyAlignment="1">
      <alignment horizontal="right"/>
    </xf>
    <xf numFmtId="9" fontId="0" fillId="16" borderId="1" xfId="3" applyFont="1" applyFill="1" applyBorder="1" applyAlignment="1" applyProtection="1">
      <alignment horizontal="center"/>
    </xf>
    <xf numFmtId="164" fontId="4" fillId="1" borderId="1" xfId="0" applyNumberFormat="1" applyFont="1" applyFill="1" applyBorder="1" applyAlignment="1">
      <alignment horizontal="center"/>
    </xf>
    <xf numFmtId="0" fontId="0" fillId="1" borderId="1" xfId="0" applyFill="1" applyBorder="1"/>
    <xf numFmtId="2" fontId="0" fillId="1" borderId="1" xfId="0" applyNumberFormat="1" applyFill="1" applyBorder="1" applyAlignment="1">
      <alignment horizontal="center"/>
    </xf>
    <xf numFmtId="0" fontId="0" fillId="1" borderId="3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" xfId="0" applyFill="1" applyBorder="1"/>
    <xf numFmtId="0" fontId="0" fillId="17" borderId="1" xfId="0" applyFill="1" applyBorder="1"/>
    <xf numFmtId="1" fontId="0" fillId="17" borderId="1" xfId="0" applyNumberFormat="1" applyFill="1" applyBorder="1"/>
    <xf numFmtId="44" fontId="0" fillId="15" borderId="1" xfId="2" applyFont="1" applyFill="1" applyBorder="1" applyProtection="1"/>
    <xf numFmtId="44" fontId="0" fillId="14" borderId="1" xfId="2" applyFont="1" applyFill="1" applyBorder="1" applyAlignment="1" applyProtection="1">
      <alignment horizontal="center"/>
    </xf>
    <xf numFmtId="44" fontId="0" fillId="1" borderId="1" xfId="2" applyFont="1" applyFill="1" applyBorder="1" applyProtection="1"/>
    <xf numFmtId="9" fontId="0" fillId="1" borderId="1" xfId="3" applyFont="1" applyFill="1" applyBorder="1" applyAlignment="1" applyProtection="1">
      <alignment horizontal="center"/>
    </xf>
    <xf numFmtId="9" fontId="0" fillId="13" borderId="1" xfId="0" applyNumberFormat="1" applyFill="1" applyBorder="1" applyAlignment="1">
      <alignment horizontal="center"/>
    </xf>
    <xf numFmtId="44" fontId="0" fillId="14" borderId="1" xfId="2" applyFont="1" applyFill="1" applyBorder="1" applyProtection="1"/>
    <xf numFmtId="0" fontId="0" fillId="18" borderId="1" xfId="0" applyFill="1" applyBorder="1"/>
    <xf numFmtId="44" fontId="0" fillId="18" borderId="1" xfId="2" applyFont="1" applyFill="1" applyBorder="1" applyProtection="1"/>
    <xf numFmtId="44" fontId="0" fillId="18" borderId="2" xfId="2" applyFont="1" applyFill="1" applyBorder="1" applyProtection="1"/>
    <xf numFmtId="9" fontId="0" fillId="18" borderId="1" xfId="3" applyFont="1" applyFill="1" applyBorder="1" applyAlignment="1" applyProtection="1">
      <alignment horizontal="center"/>
    </xf>
    <xf numFmtId="44" fontId="0" fillId="17" borderId="3" xfId="2" applyFont="1" applyFill="1" applyBorder="1" applyProtection="1"/>
    <xf numFmtId="1" fontId="0" fillId="17" borderId="3" xfId="2" applyNumberFormat="1" applyFont="1" applyFill="1" applyBorder="1" applyAlignment="1" applyProtection="1">
      <alignment horizontal="center"/>
    </xf>
    <xf numFmtId="1" fontId="0" fillId="17" borderId="1" xfId="2" applyNumberFormat="1" applyFont="1" applyFill="1" applyBorder="1" applyAlignment="1" applyProtection="1">
      <alignment horizontal="center"/>
    </xf>
    <xf numFmtId="44" fontId="0" fillId="17" borderId="1" xfId="2" applyFont="1" applyFill="1" applyBorder="1" applyProtection="1"/>
    <xf numFmtId="43" fontId="0" fillId="17" borderId="1" xfId="1" applyFont="1" applyFill="1" applyBorder="1" applyProtection="1"/>
    <xf numFmtId="0" fontId="0" fillId="17" borderId="1" xfId="0" applyFill="1" applyBorder="1" applyAlignment="1">
      <alignment horizontal="center"/>
    </xf>
    <xf numFmtId="44" fontId="0" fillId="17" borderId="1" xfId="2" applyFont="1" applyFill="1" applyBorder="1" applyAlignment="1" applyProtection="1">
      <alignment horizontal="center"/>
    </xf>
    <xf numFmtId="44" fontId="0" fillId="19" borderId="1" xfId="2" applyFont="1" applyFill="1" applyBorder="1" applyProtection="1"/>
    <xf numFmtId="9" fontId="0" fillId="19" borderId="1" xfId="3" applyFont="1" applyFill="1" applyBorder="1" applyAlignment="1" applyProtection="1">
      <alignment horizontal="center"/>
    </xf>
    <xf numFmtId="0" fontId="0" fillId="20" borderId="1" xfId="0" applyFill="1" applyBorder="1"/>
    <xf numFmtId="44" fontId="0" fillId="20" borderId="1" xfId="2" applyFont="1" applyFill="1" applyBorder="1" applyProtection="1"/>
    <xf numFmtId="1" fontId="0" fillId="20" borderId="1" xfId="2" applyNumberFormat="1" applyFont="1" applyFill="1" applyBorder="1" applyAlignment="1" applyProtection="1">
      <alignment horizontal="center"/>
    </xf>
    <xf numFmtId="0" fontId="0" fillId="20" borderId="1" xfId="0" applyFill="1" applyBorder="1" applyAlignment="1">
      <alignment horizontal="center"/>
    </xf>
    <xf numFmtId="9" fontId="0" fillId="20" borderId="1" xfId="3" applyFont="1" applyFill="1" applyBorder="1" applyAlignment="1" applyProtection="1">
      <alignment horizontal="center"/>
    </xf>
    <xf numFmtId="0" fontId="0" fillId="17" borderId="3" xfId="0" applyFill="1" applyBorder="1"/>
    <xf numFmtId="44" fontId="0" fillId="1" borderId="1" xfId="2" applyFont="1" applyFill="1" applyBorder="1" applyAlignment="1" applyProtection="1">
      <alignment horizontal="left"/>
    </xf>
    <xf numFmtId="44" fontId="0" fillId="23" borderId="1" xfId="2" applyFont="1" applyFill="1" applyBorder="1" applyAlignment="1" applyProtection="1">
      <alignment horizontal="center"/>
    </xf>
    <xf numFmtId="44" fontId="0" fillId="24" borderId="1" xfId="2" applyFont="1" applyFill="1" applyBorder="1" applyProtection="1"/>
    <xf numFmtId="9" fontId="0" fillId="24" borderId="1" xfId="3" applyFont="1" applyFill="1" applyBorder="1" applyAlignment="1" applyProtection="1">
      <alignment horizontal="center"/>
    </xf>
    <xf numFmtId="1" fontId="0" fillId="21" borderId="1" xfId="3" applyNumberFormat="1" applyFont="1" applyFill="1" applyBorder="1" applyAlignment="1" applyProtection="1">
      <alignment horizontal="center"/>
    </xf>
    <xf numFmtId="0" fontId="0" fillId="25" borderId="8" xfId="0" applyFill="1" applyBorder="1"/>
    <xf numFmtId="0" fontId="0" fillId="25" borderId="11" xfId="0" applyFill="1" applyBorder="1"/>
    <xf numFmtId="0" fontId="0" fillId="25" borderId="0" xfId="0" applyFill="1"/>
    <xf numFmtId="0" fontId="0" fillId="25" borderId="13" xfId="0" applyFill="1" applyBorder="1"/>
    <xf numFmtId="0" fontId="0" fillId="25" borderId="9" xfId="0" applyFill="1" applyBorder="1"/>
    <xf numFmtId="0" fontId="0" fillId="25" borderId="15" xfId="0" applyFill="1" applyBorder="1"/>
    <xf numFmtId="0" fontId="0" fillId="26" borderId="0" xfId="0" applyFill="1"/>
    <xf numFmtId="0" fontId="5" fillId="25" borderId="8" xfId="0" applyFont="1" applyFill="1" applyBorder="1"/>
    <xf numFmtId="0" fontId="5" fillId="25" borderId="9" xfId="0" applyFont="1" applyFill="1" applyBorder="1"/>
    <xf numFmtId="0" fontId="5" fillId="25" borderId="15" xfId="0" applyFont="1" applyFill="1" applyBorder="1"/>
    <xf numFmtId="0" fontId="9" fillId="0" borderId="0" xfId="0" applyFont="1"/>
    <xf numFmtId="44" fontId="0" fillId="11" borderId="2" xfId="2" applyFont="1" applyFill="1" applyBorder="1" applyProtection="1"/>
    <xf numFmtId="44" fontId="0" fillId="11" borderId="17" xfId="2" applyFont="1" applyFill="1" applyBorder="1" applyProtection="1"/>
    <xf numFmtId="0" fontId="0" fillId="9" borderId="17" xfId="0" applyFill="1" applyBorder="1" applyProtection="1">
      <protection locked="0"/>
    </xf>
    <xf numFmtId="0" fontId="0" fillId="9" borderId="18" xfId="0" applyFill="1" applyBorder="1" applyProtection="1">
      <protection locked="0"/>
    </xf>
    <xf numFmtId="44" fontId="0" fillId="10" borderId="2" xfId="2" applyFont="1" applyFill="1" applyBorder="1" applyAlignment="1" applyProtection="1">
      <alignment horizontal="center"/>
    </xf>
    <xf numFmtId="9" fontId="0" fillId="26" borderId="3" xfId="3" applyFont="1" applyFill="1" applyBorder="1" applyAlignment="1" applyProtection="1">
      <alignment horizontal="center"/>
    </xf>
    <xf numFmtId="9" fontId="0" fillId="26" borderId="1" xfId="3" applyFont="1" applyFill="1" applyBorder="1" applyAlignment="1" applyProtection="1">
      <alignment horizontal="center"/>
    </xf>
    <xf numFmtId="9" fontId="0" fillId="27" borderId="1" xfId="3" applyFont="1" applyFill="1" applyBorder="1" applyAlignment="1" applyProtection="1">
      <alignment horizontal="center"/>
    </xf>
    <xf numFmtId="44" fontId="0" fillId="28" borderId="6" xfId="2" applyFont="1" applyFill="1" applyBorder="1" applyProtection="1">
      <protection locked="0"/>
    </xf>
    <xf numFmtId="1" fontId="0" fillId="28" borderId="19" xfId="2" applyNumberFormat="1" applyFont="1" applyFill="1" applyBorder="1" applyAlignment="1" applyProtection="1">
      <alignment horizontal="center"/>
      <protection locked="0"/>
    </xf>
    <xf numFmtId="44" fontId="0" fillId="28" borderId="2" xfId="2" applyFont="1" applyFill="1" applyBorder="1" applyProtection="1">
      <protection locked="0"/>
    </xf>
    <xf numFmtId="1" fontId="0" fillId="28" borderId="17" xfId="2" applyNumberFormat="1" applyFont="1" applyFill="1" applyBorder="1" applyAlignment="1" applyProtection="1">
      <alignment horizontal="center"/>
      <protection locked="0"/>
    </xf>
    <xf numFmtId="44" fontId="0" fillId="28" borderId="7" xfId="2" applyFont="1" applyFill="1" applyBorder="1" applyProtection="1">
      <protection locked="0"/>
    </xf>
    <xf numFmtId="1" fontId="0" fillId="28" borderId="18" xfId="2" applyNumberFormat="1" applyFont="1" applyFill="1" applyBorder="1" applyAlignment="1" applyProtection="1">
      <alignment horizontal="center"/>
      <protection locked="0"/>
    </xf>
    <xf numFmtId="0" fontId="6" fillId="29" borderId="2" xfId="0" applyFont="1" applyFill="1" applyBorder="1" applyAlignment="1" applyProtection="1">
      <alignment horizontal="center" vertical="center"/>
      <protection locked="0"/>
    </xf>
    <xf numFmtId="0" fontId="6" fillId="29" borderId="1" xfId="0" applyFont="1" applyFill="1" applyBorder="1" applyAlignment="1" applyProtection="1">
      <alignment horizontal="center" vertical="center"/>
      <protection locked="0"/>
    </xf>
    <xf numFmtId="0" fontId="5" fillId="12" borderId="17" xfId="0" applyFont="1" applyFill="1" applyBorder="1" applyProtection="1">
      <protection locked="0"/>
    </xf>
    <xf numFmtId="44" fontId="0" fillId="29" borderId="2" xfId="2" applyFont="1" applyFill="1" applyBorder="1" applyProtection="1">
      <protection locked="0"/>
    </xf>
    <xf numFmtId="12" fontId="0" fillId="29" borderId="17" xfId="2" applyNumberFormat="1" applyFont="1" applyFill="1" applyBorder="1" applyAlignment="1" applyProtection="1">
      <protection locked="0"/>
    </xf>
    <xf numFmtId="44" fontId="0" fillId="29" borderId="17" xfId="2" applyFont="1" applyFill="1" applyBorder="1" applyProtection="1">
      <protection locked="0"/>
    </xf>
    <xf numFmtId="44" fontId="0" fillId="29" borderId="6" xfId="2" applyFont="1" applyFill="1" applyBorder="1" applyProtection="1">
      <protection locked="0"/>
    </xf>
    <xf numFmtId="0" fontId="8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0" borderId="17" xfId="0" applyBorder="1"/>
    <xf numFmtId="0" fontId="6" fillId="0" borderId="2" xfId="0" applyFont="1" applyBorder="1" applyAlignment="1">
      <alignment vertical="center"/>
    </xf>
    <xf numFmtId="0" fontId="0" fillId="6" borderId="17" xfId="0" applyFill="1" applyBorder="1"/>
    <xf numFmtId="0" fontId="0" fillId="6" borderId="2" xfId="0" applyFill="1" applyBorder="1"/>
    <xf numFmtId="0" fontId="0" fillId="2" borderId="16" xfId="0" applyFill="1" applyBorder="1"/>
    <xf numFmtId="0" fontId="0" fillId="2" borderId="2" xfId="0" applyFill="1" applyBorder="1"/>
    <xf numFmtId="44" fontId="0" fillId="5" borderId="1" xfId="2" applyFont="1" applyFill="1" applyBorder="1" applyProtection="1"/>
    <xf numFmtId="0" fontId="0" fillId="7" borderId="17" xfId="0" applyFill="1" applyBorder="1"/>
    <xf numFmtId="9" fontId="0" fillId="27" borderId="2" xfId="0" applyNumberFormat="1" applyFill="1" applyBorder="1" applyAlignment="1">
      <alignment horizontal="center"/>
    </xf>
    <xf numFmtId="9" fontId="0" fillId="27" borderId="1" xfId="0" applyNumberFormat="1" applyFill="1" applyBorder="1" applyAlignment="1">
      <alignment horizontal="center"/>
    </xf>
    <xf numFmtId="0" fontId="0" fillId="8" borderId="0" xfId="0" applyFill="1"/>
    <xf numFmtId="0" fontId="2" fillId="8" borderId="0" xfId="0" applyFont="1" applyFill="1"/>
    <xf numFmtId="0" fontId="6" fillId="25" borderId="8" xfId="0" applyFont="1" applyFill="1" applyBorder="1"/>
    <xf numFmtId="0" fontId="7" fillId="25" borderId="11" xfId="0" applyFont="1" applyFill="1" applyBorder="1"/>
    <xf numFmtId="0" fontId="6" fillId="25" borderId="9" xfId="0" applyFont="1" applyFill="1" applyBorder="1"/>
    <xf numFmtId="0" fontId="7" fillId="25" borderId="15" xfId="0" applyFont="1" applyFill="1" applyBorder="1"/>
    <xf numFmtId="1" fontId="0" fillId="29" borderId="19" xfId="2" applyNumberFormat="1" applyFont="1" applyFill="1" applyBorder="1" applyAlignment="1" applyProtection="1">
      <alignment horizontal="center"/>
      <protection locked="0"/>
    </xf>
    <xf numFmtId="0" fontId="0" fillId="22" borderId="0" xfId="0" applyFill="1"/>
    <xf numFmtId="9" fontId="0" fillId="6" borderId="0" xfId="3" applyFont="1" applyFill="1" applyBorder="1" applyAlignment="1" applyProtection="1">
      <alignment horizontal="center"/>
    </xf>
    <xf numFmtId="3" fontId="0" fillId="5" borderId="0" xfId="0" applyNumberFormat="1" applyFill="1" applyAlignment="1">
      <alignment horizontal="center"/>
    </xf>
    <xf numFmtId="1" fontId="0" fillId="22" borderId="0" xfId="0" applyNumberFormat="1" applyFill="1" applyAlignment="1">
      <alignment horizontal="center"/>
    </xf>
    <xf numFmtId="0" fontId="5" fillId="25" borderId="0" xfId="0" applyFont="1" applyFill="1"/>
    <xf numFmtId="0" fontId="0" fillId="0" borderId="9" xfId="0" applyBorder="1"/>
    <xf numFmtId="0" fontId="5" fillId="25" borderId="13" xfId="0" applyFont="1" applyFill="1" applyBorder="1"/>
    <xf numFmtId="165" fontId="0" fillId="0" borderId="0" xfId="0" applyNumberFormat="1" applyAlignment="1">
      <alignment horizontal="center"/>
    </xf>
    <xf numFmtId="0" fontId="4" fillId="22" borderId="10" xfId="0" applyFont="1" applyFill="1" applyBorder="1" applyAlignment="1">
      <alignment horizontal="left"/>
    </xf>
    <xf numFmtId="0" fontId="0" fillId="22" borderId="8" xfId="0" applyFill="1" applyBorder="1"/>
    <xf numFmtId="9" fontId="0" fillId="6" borderId="8" xfId="3" applyFont="1" applyFill="1" applyBorder="1" applyAlignment="1" applyProtection="1">
      <alignment horizontal="center"/>
    </xf>
    <xf numFmtId="0" fontId="3" fillId="22" borderId="8" xfId="0" applyFont="1" applyFill="1" applyBorder="1" applyAlignment="1">
      <alignment horizontal="center"/>
    </xf>
    <xf numFmtId="0" fontId="3" fillId="22" borderId="11" xfId="0" applyFont="1" applyFill="1" applyBorder="1" applyAlignment="1">
      <alignment horizontal="center"/>
    </xf>
    <xf numFmtId="14" fontId="0" fillId="22" borderId="12" xfId="0" applyNumberFormat="1" applyFill="1" applyBorder="1" applyAlignment="1">
      <alignment horizontal="left"/>
    </xf>
    <xf numFmtId="3" fontId="0" fillId="5" borderId="13" xfId="0" applyNumberFormat="1" applyFill="1" applyBorder="1" applyAlignment="1">
      <alignment horizontal="center"/>
    </xf>
    <xf numFmtId="1" fontId="0" fillId="22" borderId="13" xfId="0" applyNumberFormat="1" applyFill="1" applyBorder="1" applyAlignment="1">
      <alignment horizontal="center"/>
    </xf>
    <xf numFmtId="0" fontId="0" fillId="0" borderId="12" xfId="0" applyBorder="1"/>
    <xf numFmtId="165" fontId="0" fillId="0" borderId="13" xfId="0" applyNumberFormat="1" applyBorder="1" applyAlignment="1">
      <alignment horizontal="center"/>
    </xf>
    <xf numFmtId="0" fontId="0" fillId="0" borderId="14" xfId="0" applyBorder="1"/>
    <xf numFmtId="1" fontId="0" fillId="22" borderId="9" xfId="0" applyNumberFormat="1" applyFill="1" applyBorder="1" applyAlignment="1">
      <alignment horizontal="center"/>
    </xf>
    <xf numFmtId="1" fontId="0" fillId="22" borderId="15" xfId="0" applyNumberFormat="1" applyFill="1" applyBorder="1" applyAlignment="1">
      <alignment horizontal="center"/>
    </xf>
    <xf numFmtId="44" fontId="0" fillId="10" borderId="1" xfId="2" applyFont="1" applyFill="1" applyBorder="1" applyProtection="1"/>
    <xf numFmtId="0" fontId="10" fillId="25" borderId="10" xfId="0" applyFont="1" applyFill="1" applyBorder="1"/>
    <xf numFmtId="0" fontId="10" fillId="25" borderId="8" xfId="0" applyFont="1" applyFill="1" applyBorder="1"/>
    <xf numFmtId="0" fontId="10" fillId="25" borderId="12" xfId="0" applyFont="1" applyFill="1" applyBorder="1"/>
    <xf numFmtId="0" fontId="10" fillId="25" borderId="14" xfId="0" applyFont="1" applyFill="1" applyBorder="1"/>
    <xf numFmtId="0" fontId="10" fillId="25" borderId="9" xfId="0" applyFont="1" applyFill="1" applyBorder="1"/>
    <xf numFmtId="0" fontId="10" fillId="25" borderId="0" xfId="0" applyFont="1" applyFill="1"/>
    <xf numFmtId="0" fontId="6" fillId="2" borderId="2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2" fontId="6" fillId="2" borderId="2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0" fillId="26" borderId="0" xfId="0" applyFont="1" applyFill="1"/>
    <xf numFmtId="9" fontId="11" fillId="30" borderId="1" xfId="3" applyFont="1" applyFill="1" applyBorder="1" applyAlignment="1" applyProtection="1">
      <alignment horizontal="center"/>
    </xf>
    <xf numFmtId="0" fontId="6" fillId="0" borderId="2" xfId="0" applyFont="1" applyBorder="1"/>
    <xf numFmtId="0" fontId="6" fillId="0" borderId="21" xfId="0" applyFont="1" applyBorder="1"/>
    <xf numFmtId="0" fontId="6" fillId="0" borderId="20" xfId="0" applyFont="1" applyBorder="1"/>
    <xf numFmtId="0" fontId="8" fillId="2" borderId="1" xfId="0" applyFont="1" applyFill="1" applyBorder="1" applyAlignment="1">
      <alignment horizontal="left"/>
    </xf>
    <xf numFmtId="0" fontId="6" fillId="29" borderId="2" xfId="0" applyFont="1" applyFill="1" applyBorder="1" applyAlignment="1" applyProtection="1">
      <alignment horizontal="center"/>
      <protection locked="0"/>
    </xf>
    <xf numFmtId="0" fontId="6" fillId="29" borderId="1" xfId="0" applyFont="1" applyFill="1" applyBorder="1" applyAlignment="1" applyProtection="1">
      <alignment horizontal="center"/>
      <protection locked="0"/>
    </xf>
    <xf numFmtId="165" fontId="6" fillId="0" borderId="1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5" fillId="0" borderId="2" xfId="0" applyFont="1" applyBorder="1"/>
    <xf numFmtId="0" fontId="5" fillId="0" borderId="17" xfId="0" applyFont="1" applyBorder="1"/>
    <xf numFmtId="1" fontId="0" fillId="29" borderId="17" xfId="2" applyNumberFormat="1" applyFont="1" applyFill="1" applyBorder="1" applyAlignment="1" applyProtection="1">
      <alignment horizontal="center"/>
      <protection locked="0"/>
    </xf>
    <xf numFmtId="0" fontId="4" fillId="25" borderId="12" xfId="0" applyFont="1" applyFill="1" applyBorder="1"/>
    <xf numFmtId="0" fontId="4" fillId="25" borderId="0" xfId="0" applyFont="1" applyFill="1"/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44" fontId="0" fillId="5" borderId="24" xfId="2" applyFont="1" applyFill="1" applyBorder="1" applyProtection="1"/>
    <xf numFmtId="0" fontId="0" fillId="31" borderId="17" xfId="0" applyFill="1" applyBorder="1"/>
    <xf numFmtId="44" fontId="0" fillId="32" borderId="7" xfId="2" applyFont="1" applyFill="1" applyBorder="1" applyProtection="1"/>
    <xf numFmtId="44" fontId="0" fillId="32" borderId="18" xfId="2" applyFont="1" applyFill="1" applyBorder="1" applyProtection="1"/>
    <xf numFmtId="9" fontId="0" fillId="32" borderId="16" xfId="3" applyFont="1" applyFill="1" applyBorder="1" applyAlignment="1" applyProtection="1">
      <alignment horizontal="center"/>
    </xf>
    <xf numFmtId="44" fontId="0" fillId="32" borderId="23" xfId="2" applyFont="1" applyFill="1" applyBorder="1" applyProtection="1"/>
    <xf numFmtId="44" fontId="0" fillId="32" borderId="17" xfId="2" applyFont="1" applyFill="1" applyBorder="1" applyProtection="1"/>
    <xf numFmtId="44" fontId="0" fillId="31" borderId="1" xfId="2" applyFont="1" applyFill="1" applyBorder="1" applyProtection="1"/>
    <xf numFmtId="44" fontId="0" fillId="32" borderId="2" xfId="2" applyFont="1" applyFill="1" applyBorder="1" applyProtection="1"/>
    <xf numFmtId="2" fontId="0" fillId="8" borderId="0" xfId="3" applyNumberFormat="1" applyFont="1" applyFill="1" applyBorder="1" applyAlignment="1" applyProtection="1">
      <alignment horizontal="center"/>
    </xf>
    <xf numFmtId="44" fontId="0" fillId="31" borderId="2" xfId="2" applyFont="1" applyFill="1" applyBorder="1" applyProtection="1"/>
    <xf numFmtId="9" fontId="0" fillId="32" borderId="1" xfId="3" applyFont="1" applyFill="1" applyBorder="1" applyAlignment="1" applyProtection="1">
      <alignment horizontal="center"/>
    </xf>
    <xf numFmtId="0" fontId="0" fillId="25" borderId="16" xfId="0" applyFill="1" applyBorder="1"/>
    <xf numFmtId="0" fontId="0" fillId="25" borderId="2" xfId="0" applyFill="1" applyBorder="1"/>
    <xf numFmtId="0" fontId="5" fillId="25" borderId="17" xfId="0" applyFont="1" applyFill="1" applyBorder="1"/>
    <xf numFmtId="0" fontId="0" fillId="25" borderId="17" xfId="0" applyFill="1" applyBorder="1"/>
    <xf numFmtId="44" fontId="0" fillId="25" borderId="2" xfId="2" applyFont="1" applyFill="1" applyBorder="1" applyProtection="1"/>
    <xf numFmtId="44" fontId="0" fillId="34" borderId="17" xfId="2" applyFont="1" applyFill="1" applyBorder="1" applyProtection="1"/>
    <xf numFmtId="9" fontId="0" fillId="34" borderId="1" xfId="3" applyFont="1" applyFill="1" applyBorder="1" applyAlignment="1" applyProtection="1">
      <alignment horizontal="center"/>
    </xf>
    <xf numFmtId="44" fontId="0" fillId="25" borderId="1" xfId="2" applyFont="1" applyFill="1" applyBorder="1" applyProtection="1"/>
    <xf numFmtId="0" fontId="0" fillId="3" borderId="0" xfId="0" applyFill="1"/>
    <xf numFmtId="0" fontId="5" fillId="25" borderId="5" xfId="0" applyFont="1" applyFill="1" applyBorder="1" applyAlignment="1">
      <alignment vertical="center"/>
    </xf>
    <xf numFmtId="9" fontId="0" fillId="25" borderId="3" xfId="3" applyFont="1" applyFill="1" applyBorder="1" applyAlignment="1" applyProtection="1">
      <alignment horizontal="center"/>
    </xf>
    <xf numFmtId="44" fontId="12" fillId="5" borderId="1" xfId="2" applyFont="1" applyFill="1" applyBorder="1" applyProtection="1"/>
    <xf numFmtId="44" fontId="13" fillId="6" borderId="2" xfId="2" applyFont="1" applyFill="1" applyBorder="1" applyProtection="1"/>
    <xf numFmtId="44" fontId="0" fillId="33" borderId="1" xfId="2" applyFont="1" applyFill="1" applyBorder="1" applyProtection="1">
      <protection locked="0"/>
    </xf>
    <xf numFmtId="0" fontId="5" fillId="25" borderId="25" xfId="0" applyFont="1" applyFill="1" applyBorder="1" applyAlignment="1">
      <alignment horizontal="center" vertical="center"/>
    </xf>
    <xf numFmtId="44" fontId="0" fillId="25" borderId="20" xfId="2" applyFont="1" applyFill="1" applyBorder="1" applyAlignment="1" applyProtection="1">
      <alignment horizontal="center"/>
    </xf>
    <xf numFmtId="44" fontId="0" fillId="32" borderId="26" xfId="2" applyFont="1" applyFill="1" applyBorder="1" applyProtection="1"/>
    <xf numFmtId="0" fontId="0" fillId="6" borderId="2" xfId="0" applyFill="1" applyBorder="1" applyAlignment="1">
      <alignment horizontal="center"/>
    </xf>
    <xf numFmtId="9" fontId="0" fillId="32" borderId="22" xfId="3" applyFont="1" applyFill="1" applyBorder="1" applyAlignment="1" applyProtection="1">
      <alignment horizontal="center"/>
    </xf>
    <xf numFmtId="44" fontId="5" fillId="25" borderId="27" xfId="2" applyFont="1" applyFill="1" applyBorder="1" applyAlignment="1" applyProtection="1">
      <alignment horizontal="left"/>
    </xf>
    <xf numFmtId="1" fontId="4" fillId="25" borderId="27" xfId="2" applyNumberFormat="1" applyFont="1" applyFill="1" applyBorder="1" applyAlignment="1" applyProtection="1">
      <alignment horizontal="left" vertical="center"/>
      <protection locked="0"/>
    </xf>
    <xf numFmtId="0" fontId="5" fillId="25" borderId="28" xfId="0" applyFont="1" applyFill="1" applyBorder="1"/>
    <xf numFmtId="0" fontId="5" fillId="25" borderId="33" xfId="0" applyFont="1" applyFill="1" applyBorder="1" applyAlignment="1">
      <alignment horizontal="center" vertical="center"/>
    </xf>
    <xf numFmtId="0" fontId="5" fillId="25" borderId="31" xfId="0" applyFont="1" applyFill="1" applyBorder="1" applyAlignment="1">
      <alignment horizontal="center" vertical="center"/>
    </xf>
    <xf numFmtId="0" fontId="0" fillId="2" borderId="0" xfId="0" applyFill="1"/>
    <xf numFmtId="0" fontId="6" fillId="2" borderId="0" xfId="0" applyFont="1" applyFill="1"/>
    <xf numFmtId="0" fontId="6" fillId="25" borderId="0" xfId="0" applyFont="1" applyFill="1"/>
    <xf numFmtId="9" fontId="0" fillId="0" borderId="1" xfId="3" applyFont="1" applyFill="1" applyBorder="1" applyAlignment="1" applyProtection="1">
      <alignment horizontal="center"/>
    </xf>
    <xf numFmtId="0" fontId="5" fillId="35" borderId="17" xfId="0" applyFont="1" applyFill="1" applyBorder="1" applyProtection="1">
      <protection locked="0"/>
    </xf>
    <xf numFmtId="0" fontId="0" fillId="37" borderId="17" xfId="0" applyFill="1" applyBorder="1" applyProtection="1">
      <protection locked="0"/>
    </xf>
    <xf numFmtId="0" fontId="0" fillId="37" borderId="18" xfId="0" applyFill="1" applyBorder="1" applyProtection="1">
      <protection locked="0"/>
    </xf>
    <xf numFmtId="44" fontId="0" fillId="38" borderId="34" xfId="2" applyFont="1" applyFill="1" applyBorder="1" applyAlignment="1" applyProtection="1">
      <alignment horizontal="center"/>
      <protection locked="0"/>
    </xf>
    <xf numFmtId="9" fontId="0" fillId="38" borderId="30" xfId="0" applyNumberFormat="1" applyFill="1" applyBorder="1" applyAlignment="1">
      <alignment horizontal="center"/>
    </xf>
    <xf numFmtId="9" fontId="0" fillId="38" borderId="29" xfId="0" applyNumberFormat="1" applyFill="1" applyBorder="1" applyAlignment="1">
      <alignment horizontal="center"/>
    </xf>
    <xf numFmtId="1" fontId="4" fillId="36" borderId="32" xfId="2" applyNumberFormat="1" applyFont="1" applyFill="1" applyBorder="1" applyAlignment="1" applyProtection="1">
      <alignment horizontal="center"/>
      <protection locked="0"/>
    </xf>
    <xf numFmtId="9" fontId="0" fillId="38" borderId="30" xfId="0" applyNumberFormat="1" applyFill="1" applyBorder="1" applyAlignment="1" applyProtection="1">
      <alignment horizontal="center"/>
      <protection locked="0"/>
    </xf>
    <xf numFmtId="9" fontId="0" fillId="38" borderId="29" xfId="0" applyNumberFormat="1" applyFill="1" applyBorder="1" applyAlignment="1" applyProtection="1">
      <alignment horizontal="center"/>
      <protection locked="0"/>
    </xf>
    <xf numFmtId="44" fontId="0" fillId="39" borderId="1" xfId="2" applyFont="1" applyFill="1" applyBorder="1" applyProtection="1"/>
    <xf numFmtId="0" fontId="0" fillId="2" borderId="17" xfId="0" applyFill="1" applyBorder="1" applyProtection="1">
      <protection locked="0"/>
    </xf>
    <xf numFmtId="1" fontId="0" fillId="2" borderId="17" xfId="2" applyNumberFormat="1" applyFont="1" applyFill="1" applyBorder="1" applyAlignment="1" applyProtection="1">
      <alignment horizontal="center"/>
      <protection locked="0"/>
    </xf>
    <xf numFmtId="166" fontId="0" fillId="0" borderId="0" xfId="1" applyNumberFormat="1" applyFont="1"/>
    <xf numFmtId="4" fontId="0" fillId="0" borderId="0" xfId="1" applyNumberFormat="1" applyFont="1"/>
    <xf numFmtId="166" fontId="5" fillId="0" borderId="0" xfId="1" applyNumberFormat="1" applyFont="1" applyBorder="1"/>
    <xf numFmtId="4" fontId="5" fillId="0" borderId="0" xfId="1" applyNumberFormat="1" applyFont="1" applyBorder="1"/>
    <xf numFmtId="4" fontId="5" fillId="0" borderId="36" xfId="1" applyNumberFormat="1" applyFont="1" applyBorder="1"/>
    <xf numFmtId="0" fontId="5" fillId="0" borderId="38" xfId="0" applyFont="1" applyBorder="1"/>
    <xf numFmtId="0" fontId="5" fillId="0" borderId="39" xfId="0" applyFont="1" applyBorder="1"/>
    <xf numFmtId="166" fontId="5" fillId="0" borderId="24" xfId="1" applyNumberFormat="1" applyFont="1" applyBorder="1"/>
    <xf numFmtId="0" fontId="5" fillId="0" borderId="40" xfId="0" applyFont="1" applyBorder="1"/>
    <xf numFmtId="166" fontId="0" fillId="5" borderId="35" xfId="1" applyNumberFormat="1" applyFont="1" applyFill="1" applyBorder="1"/>
    <xf numFmtId="0" fontId="0" fillId="5" borderId="37" xfId="0" applyFill="1" applyBorder="1"/>
    <xf numFmtId="166" fontId="0" fillId="5" borderId="24" xfId="1" applyNumberFormat="1" applyFont="1" applyFill="1" applyBorder="1"/>
    <xf numFmtId="0" fontId="0" fillId="5" borderId="40" xfId="0" applyFill="1" applyBorder="1"/>
    <xf numFmtId="4" fontId="0" fillId="5" borderId="24" xfId="1" applyNumberFormat="1" applyFont="1" applyFill="1" applyBorder="1"/>
    <xf numFmtId="0" fontId="0" fillId="5" borderId="44" xfId="0" applyFill="1" applyBorder="1"/>
    <xf numFmtId="0" fontId="5" fillId="0" borderId="3" xfId="0" applyFont="1" applyBorder="1"/>
    <xf numFmtId="0" fontId="0" fillId="5" borderId="3" xfId="0" applyFill="1" applyBorder="1"/>
    <xf numFmtId="0" fontId="5" fillId="0" borderId="27" xfId="0" applyFont="1" applyBorder="1"/>
    <xf numFmtId="0" fontId="5" fillId="0" borderId="45" xfId="0" applyFont="1" applyBorder="1"/>
    <xf numFmtId="0" fontId="0" fillId="5" borderId="1" xfId="0" applyFill="1" applyBorder="1"/>
    <xf numFmtId="0" fontId="5" fillId="0" borderId="16" xfId="0" applyFont="1" applyBorder="1"/>
    <xf numFmtId="0" fontId="5" fillId="0" borderId="46" xfId="0" applyFont="1" applyBorder="1"/>
    <xf numFmtId="166" fontId="0" fillId="5" borderId="1" xfId="1" applyNumberFormat="1" applyFont="1" applyFill="1" applyBorder="1"/>
    <xf numFmtId="166" fontId="5" fillId="0" borderId="16" xfId="1" applyNumberFormat="1" applyFont="1" applyBorder="1"/>
    <xf numFmtId="4" fontId="5" fillId="0" borderId="16" xfId="1" applyNumberFormat="1" applyFont="1" applyBorder="1"/>
    <xf numFmtId="4" fontId="0" fillId="5" borderId="1" xfId="1" applyNumberFormat="1" applyFont="1" applyFill="1" applyBorder="1"/>
    <xf numFmtId="4" fontId="5" fillId="0" borderId="46" xfId="1" applyNumberFormat="1" applyFont="1" applyBorder="1"/>
    <xf numFmtId="166" fontId="0" fillId="5" borderId="47" xfId="1" applyNumberFormat="1" applyFont="1" applyFill="1" applyBorder="1"/>
    <xf numFmtId="166" fontId="5" fillId="0" borderId="1" xfId="1" applyNumberFormat="1" applyFont="1" applyBorder="1"/>
    <xf numFmtId="166" fontId="5" fillId="0" borderId="2" xfId="1" applyNumberFormat="1" applyFont="1" applyBorder="1"/>
    <xf numFmtId="0" fontId="0" fillId="5" borderId="47" xfId="0" applyFill="1" applyBorder="1"/>
    <xf numFmtId="0" fontId="5" fillId="0" borderId="1" xfId="0" applyFont="1" applyBorder="1"/>
    <xf numFmtId="166" fontId="0" fillId="5" borderId="41" xfId="1" applyNumberFormat="1" applyFont="1" applyFill="1" applyBorder="1"/>
    <xf numFmtId="166" fontId="0" fillId="5" borderId="5" xfId="1" applyNumberFormat="1" applyFont="1" applyFill="1" applyBorder="1"/>
    <xf numFmtId="0" fontId="0" fillId="5" borderId="5" xfId="0" applyFill="1" applyBorder="1"/>
    <xf numFmtId="0" fontId="0" fillId="5" borderId="48" xfId="0" applyFill="1" applyBorder="1"/>
    <xf numFmtId="0" fontId="0" fillId="5" borderId="42" xfId="0" applyFill="1" applyBorder="1"/>
    <xf numFmtId="166" fontId="5" fillId="0" borderId="49" xfId="1" applyNumberFormat="1" applyFont="1" applyBorder="1"/>
    <xf numFmtId="166" fontId="5" fillId="0" borderId="50" xfId="1" applyNumberFormat="1" applyFont="1" applyBorder="1"/>
    <xf numFmtId="0" fontId="5" fillId="0" borderId="50" xfId="0" applyFont="1" applyBorder="1"/>
    <xf numFmtId="0" fontId="5" fillId="0" borderId="43" xfId="0" applyFont="1" applyBorder="1"/>
    <xf numFmtId="0" fontId="5" fillId="0" borderId="51" xfId="0" applyFont="1" applyBorder="1"/>
    <xf numFmtId="0" fontId="0" fillId="40" borderId="35" xfId="0" applyFill="1" applyBorder="1"/>
    <xf numFmtId="0" fontId="0" fillId="40" borderId="24" xfId="0" applyFill="1" applyBorder="1"/>
    <xf numFmtId="0" fontId="0" fillId="40" borderId="0" xfId="0" applyFill="1" applyAlignment="1">
      <alignment horizontal="center"/>
    </xf>
    <xf numFmtId="0" fontId="0" fillId="40" borderId="24" xfId="0" applyFill="1" applyBorder="1" applyAlignment="1">
      <alignment horizontal="center"/>
    </xf>
    <xf numFmtId="0" fontId="0" fillId="40" borderId="36" xfId="0" applyFill="1" applyBorder="1" applyAlignment="1">
      <alignment horizontal="center"/>
    </xf>
    <xf numFmtId="0" fontId="10" fillId="25" borderId="0" xfId="0" applyFont="1" applyFill="1" applyBorder="1"/>
    <xf numFmtId="0" fontId="6" fillId="25" borderId="0" xfId="0" applyFont="1" applyFill="1" applyBorder="1"/>
    <xf numFmtId="0" fontId="7" fillId="25" borderId="0" xfId="0" applyFont="1" applyFill="1" applyBorder="1"/>
    <xf numFmtId="0" fontId="6" fillId="2" borderId="0" xfId="0" applyFont="1" applyFill="1" applyBorder="1"/>
    <xf numFmtId="0" fontId="5" fillId="41" borderId="0" xfId="0" applyFont="1" applyFill="1"/>
    <xf numFmtId="0" fontId="0" fillId="41" borderId="0" xfId="0" applyFill="1"/>
    <xf numFmtId="0" fontId="0" fillId="41" borderId="0" xfId="0" applyFill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0" xfId="0" applyFont="1" applyBorder="1"/>
    <xf numFmtId="44" fontId="0" fillId="11" borderId="18" xfId="2" applyFont="1" applyFill="1" applyBorder="1" applyProtection="1"/>
    <xf numFmtId="9" fontId="0" fillId="11" borderId="16" xfId="3" applyFont="1" applyFill="1" applyBorder="1" applyAlignment="1" applyProtection="1">
      <alignment horizontal="center"/>
    </xf>
    <xf numFmtId="44" fontId="0" fillId="3" borderId="0" xfId="0" applyNumberFormat="1" applyFill="1"/>
    <xf numFmtId="44" fontId="0" fillId="1" borderId="1" xfId="0" applyNumberFormat="1" applyFill="1" applyBorder="1"/>
    <xf numFmtId="44" fontId="0" fillId="2" borderId="2" xfId="2" applyFont="1" applyFill="1" applyBorder="1" applyProtection="1">
      <protection locked="0"/>
    </xf>
    <xf numFmtId="0" fontId="5" fillId="0" borderId="0" xfId="0" applyFont="1" applyBorder="1" applyAlignment="1">
      <alignment horizontal="center"/>
    </xf>
    <xf numFmtId="0" fontId="0" fillId="2" borderId="0" xfId="0" applyFill="1" applyBorder="1"/>
    <xf numFmtId="0" fontId="0" fillId="6" borderId="0" xfId="0" applyFill="1" applyBorder="1"/>
    <xf numFmtId="44" fontId="0" fillId="5" borderId="0" xfId="2" applyFont="1" applyFill="1" applyBorder="1" applyProtection="1"/>
    <xf numFmtId="44" fontId="0" fillId="7" borderId="0" xfId="2" applyFont="1" applyFill="1" applyBorder="1" applyProtection="1"/>
    <xf numFmtId="44" fontId="0" fillId="34" borderId="21" xfId="2" applyFont="1" applyFill="1" applyBorder="1" applyProtection="1"/>
    <xf numFmtId="44" fontId="0" fillId="34" borderId="23" xfId="2" applyFont="1" applyFill="1" applyBorder="1" applyProtection="1"/>
    <xf numFmtId="0" fontId="12" fillId="25" borderId="14" xfId="0" applyFont="1" applyFill="1" applyBorder="1"/>
    <xf numFmtId="0" fontId="6" fillId="2" borderId="52" xfId="0" applyFont="1" applyFill="1" applyBorder="1" applyAlignment="1">
      <alignment horizontal="center"/>
    </xf>
    <xf numFmtId="0" fontId="6" fillId="2" borderId="55" xfId="0" applyFont="1" applyFill="1" applyBorder="1" applyAlignment="1">
      <alignment horizontal="center"/>
    </xf>
    <xf numFmtId="0" fontId="6" fillId="42" borderId="53" xfId="0" applyFont="1" applyFill="1" applyBorder="1" applyAlignment="1">
      <alignment horizontal="center"/>
    </xf>
    <xf numFmtId="0" fontId="6" fillId="42" borderId="55" xfId="0" applyFont="1" applyFill="1" applyBorder="1" applyAlignment="1">
      <alignment horizontal="center"/>
    </xf>
    <xf numFmtId="0" fontId="6" fillId="2" borderId="53" xfId="0" applyFont="1" applyFill="1" applyBorder="1" applyAlignment="1">
      <alignment horizontal="center"/>
    </xf>
    <xf numFmtId="0" fontId="6" fillId="2" borderId="54" xfId="0" applyFont="1" applyFill="1" applyBorder="1" applyAlignment="1">
      <alignment horizontal="center"/>
    </xf>
    <xf numFmtId="164" fontId="16" fillId="2" borderId="47" xfId="0" applyNumberFormat="1" applyFont="1" applyFill="1" applyBorder="1" applyAlignment="1">
      <alignment horizontal="center"/>
    </xf>
    <xf numFmtId="164" fontId="16" fillId="2" borderId="2" xfId="0" applyNumberFormat="1" applyFont="1" applyFill="1" applyBorder="1" applyAlignment="1">
      <alignment horizontal="center"/>
    </xf>
    <xf numFmtId="164" fontId="16" fillId="42" borderId="47" xfId="0" applyNumberFormat="1" applyFont="1" applyFill="1" applyBorder="1" applyAlignment="1">
      <alignment horizontal="center"/>
    </xf>
    <xf numFmtId="164" fontId="16" fillId="42" borderId="2" xfId="0" applyNumberFormat="1" applyFont="1" applyFill="1" applyBorder="1" applyAlignment="1">
      <alignment horizontal="center"/>
    </xf>
    <xf numFmtId="3" fontId="6" fillId="2" borderId="52" xfId="1" applyNumberFormat="1" applyFont="1" applyFill="1" applyBorder="1" applyAlignment="1">
      <alignment horizontal="center"/>
    </xf>
    <xf numFmtId="3" fontId="6" fillId="2" borderId="55" xfId="1" applyNumberFormat="1" applyFont="1" applyFill="1" applyBorder="1" applyAlignment="1">
      <alignment horizontal="center"/>
    </xf>
    <xf numFmtId="3" fontId="6" fillId="42" borderId="53" xfId="1" applyNumberFormat="1" applyFont="1" applyFill="1" applyBorder="1" applyAlignment="1">
      <alignment horizontal="center"/>
    </xf>
    <xf numFmtId="3" fontId="6" fillId="42" borderId="55" xfId="1" applyNumberFormat="1" applyFont="1" applyFill="1" applyBorder="1" applyAlignment="1">
      <alignment horizontal="center"/>
    </xf>
    <xf numFmtId="3" fontId="6" fillId="2" borderId="53" xfId="1" applyNumberFormat="1" applyFont="1" applyFill="1" applyBorder="1" applyAlignment="1">
      <alignment horizontal="center"/>
    </xf>
    <xf numFmtId="3" fontId="6" fillId="2" borderId="54" xfId="1" applyNumberFormat="1" applyFont="1" applyFill="1" applyBorder="1" applyAlignment="1">
      <alignment horizontal="center"/>
    </xf>
    <xf numFmtId="167" fontId="6" fillId="2" borderId="52" xfId="1" applyNumberFormat="1" applyFont="1" applyFill="1" applyBorder="1" applyAlignment="1">
      <alignment horizontal="center"/>
    </xf>
    <xf numFmtId="167" fontId="6" fillId="2" borderId="55" xfId="1" applyNumberFormat="1" applyFont="1" applyFill="1" applyBorder="1" applyAlignment="1">
      <alignment horizontal="center"/>
    </xf>
    <xf numFmtId="167" fontId="6" fillId="42" borderId="53" xfId="1" applyNumberFormat="1" applyFont="1" applyFill="1" applyBorder="1" applyAlignment="1">
      <alignment horizontal="center"/>
    </xf>
    <xf numFmtId="167" fontId="6" fillId="42" borderId="55" xfId="1" applyNumberFormat="1" applyFont="1" applyFill="1" applyBorder="1" applyAlignment="1">
      <alignment horizontal="center"/>
    </xf>
    <xf numFmtId="167" fontId="6" fillId="2" borderId="53" xfId="1" applyNumberFormat="1" applyFont="1" applyFill="1" applyBorder="1" applyAlignment="1">
      <alignment horizontal="center"/>
    </xf>
    <xf numFmtId="167" fontId="6" fillId="2" borderId="54" xfId="1" applyNumberFormat="1" applyFont="1" applyFill="1" applyBorder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47">
    <dxf>
      <fill>
        <patternFill>
          <bgColor rgb="FFFABCBC"/>
        </patternFill>
      </fill>
    </dxf>
    <dxf>
      <fill>
        <patternFill>
          <bgColor rgb="FFFABCBC"/>
        </patternFill>
      </fill>
    </dxf>
    <dxf>
      <fill>
        <patternFill>
          <bgColor rgb="FFFABCBC"/>
        </patternFill>
      </fill>
    </dxf>
    <dxf>
      <fill>
        <patternFill>
          <bgColor rgb="FFFABCBC"/>
        </patternFill>
      </fill>
    </dxf>
    <dxf>
      <fill>
        <patternFill>
          <bgColor rgb="FFFABCBC"/>
        </patternFill>
      </fill>
    </dxf>
    <dxf>
      <fill>
        <patternFill>
          <bgColor rgb="FFFABCB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4C2C2"/>
        </patternFill>
      </fill>
    </dxf>
    <dxf>
      <fill>
        <patternFill>
          <bgColor rgb="FFF4C2C2"/>
        </patternFill>
      </fill>
    </dxf>
    <dxf>
      <fill>
        <patternFill>
          <bgColor rgb="FFF4C2C2"/>
        </patternFill>
      </fill>
    </dxf>
    <dxf>
      <fill>
        <patternFill>
          <bgColor rgb="FFF4C2C2"/>
        </patternFill>
      </fill>
    </dxf>
    <dxf>
      <fill>
        <patternFill>
          <bgColor rgb="FFF4C2C2"/>
        </patternFill>
      </fill>
    </dxf>
    <dxf>
      <fill>
        <patternFill>
          <bgColor rgb="FFF4C2C2"/>
        </patternFill>
      </fill>
    </dxf>
    <dxf>
      <fill>
        <patternFill>
          <bgColor rgb="FFF4C2C2"/>
        </patternFill>
      </fill>
    </dxf>
    <dxf>
      <fill>
        <patternFill>
          <bgColor rgb="FFF4C2C2"/>
        </patternFill>
      </fill>
    </dxf>
    <dxf>
      <fill>
        <patternFill>
          <bgColor rgb="FFF4C2C2"/>
        </patternFill>
      </fill>
    </dxf>
    <dxf>
      <fill>
        <patternFill>
          <bgColor rgb="FFF4C2C2"/>
        </patternFill>
      </fill>
    </dxf>
    <dxf>
      <fill>
        <patternFill>
          <bgColor rgb="FFF4C2C2"/>
        </patternFill>
      </fill>
    </dxf>
    <dxf>
      <fill>
        <patternFill>
          <bgColor rgb="FFF4C2C2"/>
        </patternFill>
      </fill>
    </dxf>
    <dxf>
      <fill>
        <patternFill>
          <bgColor rgb="FFFABCBC"/>
        </patternFill>
      </fill>
    </dxf>
    <dxf>
      <fill>
        <patternFill>
          <bgColor rgb="FFFABCBC"/>
        </patternFill>
      </fill>
    </dxf>
    <dxf>
      <fill>
        <patternFill>
          <bgColor rgb="FFFABCBC"/>
        </patternFill>
      </fill>
    </dxf>
    <dxf>
      <fill>
        <patternFill>
          <bgColor rgb="FFFABCBC"/>
        </patternFill>
      </fill>
    </dxf>
    <dxf>
      <fill>
        <patternFill>
          <bgColor rgb="FFFABCBC"/>
        </patternFill>
      </fill>
    </dxf>
    <dxf>
      <fill>
        <patternFill>
          <bgColor rgb="FFFABCBC"/>
        </patternFill>
      </fill>
    </dxf>
    <dxf>
      <fill>
        <patternFill>
          <bgColor rgb="FFFABCBC"/>
        </patternFill>
      </fill>
    </dxf>
    <dxf>
      <fill>
        <patternFill>
          <bgColor rgb="FFFABCBC"/>
        </patternFill>
      </fill>
    </dxf>
    <dxf>
      <fill>
        <patternFill>
          <bgColor rgb="FFFABCBC"/>
        </patternFill>
      </fill>
    </dxf>
    <dxf>
      <fill>
        <patternFill>
          <bgColor rgb="FFFABCBC"/>
        </patternFill>
      </fill>
    </dxf>
    <dxf>
      <fill>
        <patternFill>
          <bgColor rgb="FFFABCBC"/>
        </patternFill>
      </fill>
    </dxf>
    <dxf>
      <fill>
        <patternFill>
          <bgColor rgb="FFFABCBC"/>
        </patternFill>
      </fill>
    </dxf>
    <dxf>
      <fill>
        <patternFill>
          <bgColor rgb="FFF4C2C2"/>
        </patternFill>
      </fill>
    </dxf>
    <dxf>
      <fill>
        <patternFill>
          <bgColor rgb="FFF4C2C2"/>
        </patternFill>
      </fill>
    </dxf>
    <dxf>
      <fill>
        <patternFill>
          <bgColor rgb="FFFABCBC"/>
        </patternFill>
      </fill>
    </dxf>
    <dxf>
      <fill>
        <patternFill>
          <bgColor rgb="FFFABCBC"/>
        </patternFill>
      </fill>
    </dxf>
    <dxf>
      <fill>
        <patternFill>
          <bgColor rgb="FFFABCBC"/>
        </patternFill>
      </fill>
    </dxf>
    <dxf>
      <fill>
        <patternFill>
          <bgColor rgb="FFFABCBC"/>
        </patternFill>
      </fill>
    </dxf>
    <dxf>
      <fill>
        <patternFill>
          <bgColor rgb="FFFABCBC"/>
        </patternFill>
      </fill>
    </dxf>
    <dxf>
      <fill>
        <patternFill>
          <bgColor rgb="FFFABCB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8BABA"/>
        </patternFill>
      </fill>
    </dxf>
    <dxf>
      <fill>
        <patternFill>
          <bgColor rgb="FFFFFF00"/>
        </patternFill>
      </fill>
    </dxf>
    <dxf>
      <fill>
        <patternFill>
          <bgColor rgb="FFF48484"/>
        </patternFill>
      </fill>
    </dxf>
  </dxfs>
  <tableStyles count="0" defaultTableStyle="TableStyleMedium2" defaultPivotStyle="PivotStyleLight16"/>
  <colors>
    <mruColors>
      <color rgb="FF59F9E6"/>
      <color rgb="FFF48484"/>
      <color rgb="FF8EC8FC"/>
      <color rgb="FFA7FBFF"/>
      <color rgb="FFBEE6FE"/>
      <color rgb="FFBFDFFD"/>
      <color rgb="FFADD7FD"/>
      <color rgb="FFF8EC52"/>
      <color rgb="FFFB8D8D"/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Despesas Por Tipo</a:t>
            </a:r>
          </a:p>
        </c:rich>
      </c:tx>
      <c:layout>
        <c:manualLayout>
          <c:xMode val="edge"/>
          <c:yMode val="edge"/>
          <c:x val="0.51806872753903255"/>
          <c:y val="3.7269465625854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618018257401642"/>
          <c:y val="2.5990847405688643E-2"/>
          <c:w val="0.73521055854190753"/>
          <c:h val="0.8829254054274263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DESP_JANEIRO!$A$3</c:f>
              <c:strCache>
                <c:ptCount val="1"/>
                <c:pt idx="0">
                  <c:v>PESSOAL</c:v>
                </c:pt>
              </c:strCache>
            </c:strRef>
          </c:tx>
          <c:spPr>
            <a:solidFill>
              <a:srgbClr val="F8B6E2"/>
            </a:solidFill>
            <a:ln w="12700" cmpd="sng">
              <a:noFill/>
            </a:ln>
            <a:effectLst/>
          </c:spPr>
          <c:invertIfNegative val="0"/>
          <c:val>
            <c:numRef>
              <c:f>DESP_JANEIRO!$I$26:$AM$26</c:f>
              <c:numCache>
                <c:formatCode>_("R$"* #,##0.00_);_("R$"* \(#,##0.00\);_("R$"* "-"??_);_(@_)</c:formatCode>
                <c:ptCount val="31"/>
                <c:pt idx="0">
                  <c:v>0</c:v>
                </c:pt>
                <c:pt idx="1">
                  <c:v>6650</c:v>
                </c:pt>
                <c:pt idx="2">
                  <c:v>65.900000000000006</c:v>
                </c:pt>
                <c:pt idx="3">
                  <c:v>22.99</c:v>
                </c:pt>
                <c:pt idx="4">
                  <c:v>5.9</c:v>
                </c:pt>
                <c:pt idx="5">
                  <c:v>0</c:v>
                </c:pt>
                <c:pt idx="6">
                  <c:v>6404.41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96.99</c:v>
                </c:pt>
                <c:pt idx="22">
                  <c:v>0</c:v>
                </c:pt>
                <c:pt idx="23">
                  <c:v>0</c:v>
                </c:pt>
                <c:pt idx="24">
                  <c:v>1445.5900000000001</c:v>
                </c:pt>
                <c:pt idx="25">
                  <c:v>0</c:v>
                </c:pt>
                <c:pt idx="26">
                  <c:v>0</c:v>
                </c:pt>
                <c:pt idx="27">
                  <c:v>2244.85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4-490C-A994-D99064180AC4}"/>
            </c:ext>
          </c:extLst>
        </c:ser>
        <c:ser>
          <c:idx val="1"/>
          <c:order val="1"/>
          <c:tx>
            <c:strRef>
              <c:f>DESP_JANEIRO!$A$27</c:f>
              <c:strCache>
                <c:ptCount val="1"/>
                <c:pt idx="0">
                  <c:v>EXTRA EMPRESA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 w="12700" cmpd="sng">
              <a:noFill/>
            </a:ln>
            <a:effectLst/>
          </c:spPr>
          <c:invertIfNegative val="0"/>
          <c:val>
            <c:numRef>
              <c:f>DESP_JANEIRO!$I$44:$AM$44</c:f>
              <c:numCache>
                <c:formatCode>_("R$"* #,##0.00_);_("R$"* \(#,##0.00\);_("R$"* "-"??_);_(@_)</c:formatCode>
                <c:ptCount val="31"/>
                <c:pt idx="0">
                  <c:v>0</c:v>
                </c:pt>
                <c:pt idx="1">
                  <c:v>1000</c:v>
                </c:pt>
                <c:pt idx="2">
                  <c:v>2310</c:v>
                </c:pt>
                <c:pt idx="3">
                  <c:v>0</c:v>
                </c:pt>
                <c:pt idx="4">
                  <c:v>0</c:v>
                </c:pt>
                <c:pt idx="5">
                  <c:v>1080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2945.42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2009</c:v>
                </c:pt>
                <c:pt idx="15">
                  <c:v>0</c:v>
                </c:pt>
                <c:pt idx="16">
                  <c:v>1010</c:v>
                </c:pt>
                <c:pt idx="17">
                  <c:v>0</c:v>
                </c:pt>
                <c:pt idx="18">
                  <c:v>0</c:v>
                </c:pt>
                <c:pt idx="19">
                  <c:v>720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2211</c:v>
                </c:pt>
                <c:pt idx="25">
                  <c:v>2775</c:v>
                </c:pt>
                <c:pt idx="26">
                  <c:v>0</c:v>
                </c:pt>
                <c:pt idx="27">
                  <c:v>5095</c:v>
                </c:pt>
                <c:pt idx="28">
                  <c:v>0</c:v>
                </c:pt>
                <c:pt idx="29">
                  <c:v>940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84-490C-A994-D99064180AC4}"/>
            </c:ext>
          </c:extLst>
        </c:ser>
        <c:ser>
          <c:idx val="2"/>
          <c:order val="2"/>
          <c:tx>
            <c:strRef>
              <c:f>DESP_JANEIRO!$A$45</c:f>
              <c:strCache>
                <c:ptCount val="1"/>
                <c:pt idx="0">
                  <c:v>EXTRA EMPRESA</c:v>
                </c:pt>
              </c:strCache>
            </c:strRef>
          </c:tx>
          <c:spPr>
            <a:solidFill>
              <a:srgbClr val="11DB07"/>
            </a:solidFill>
            <a:ln w="12700" cmpd="sng">
              <a:noFill/>
            </a:ln>
            <a:effectLst/>
          </c:spPr>
          <c:invertIfNegative val="0"/>
          <c:val>
            <c:numRef>
              <c:f>DESP_JANEIRO!$I$67:$AM$67</c:f>
              <c:numCache>
                <c:formatCode>_("R$"* #,##0.00_);_("R$"* \(#,##0.00\);_("R$"* "-"??_);_(@_)</c:formatCode>
                <c:ptCount val="31"/>
                <c:pt idx="0">
                  <c:v>0</c:v>
                </c:pt>
                <c:pt idx="1">
                  <c:v>500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84-490C-A994-D99064180AC4}"/>
            </c:ext>
          </c:extLst>
        </c:ser>
        <c:ser>
          <c:idx val="3"/>
          <c:order val="3"/>
          <c:tx>
            <c:strRef>
              <c:f>DESP_JANEIRO!$A$68</c:f>
              <c:strCache>
                <c:ptCount val="1"/>
                <c:pt idx="0">
                  <c:v>MORADIA</c:v>
                </c:pt>
              </c:strCache>
            </c:strRef>
          </c:tx>
          <c:spPr>
            <a:solidFill>
              <a:schemeClr val="accent4"/>
            </a:solidFill>
            <a:ln w="12700" cmpd="sng">
              <a:noFill/>
            </a:ln>
            <a:effectLst/>
          </c:spPr>
          <c:invertIfNegative val="0"/>
          <c:val>
            <c:numRef>
              <c:f>DESP_JANEIRO!$I$89:$AM$89</c:f>
              <c:numCache>
                <c:formatCode>_("R$"* #,##0.00_);_("R$"* \(#,##0.00\);_("R$"* "-"??_);_(@_)</c:formatCode>
                <c:ptCount val="31"/>
                <c:pt idx="0">
                  <c:v>2503.91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288.06</c:v>
                </c:pt>
                <c:pt idx="5">
                  <c:v>464.59000000000003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1504.62</c:v>
                </c:pt>
                <c:pt idx="10">
                  <c:v>0</c:v>
                </c:pt>
                <c:pt idx="11">
                  <c:v>159.63999999999999</c:v>
                </c:pt>
                <c:pt idx="12">
                  <c:v>0</c:v>
                </c:pt>
                <c:pt idx="13">
                  <c:v>0</c:v>
                </c:pt>
                <c:pt idx="14">
                  <c:v>220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236.13</c:v>
                </c:pt>
                <c:pt idx="26">
                  <c:v>524.07000000000005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84-490C-A994-D99064180AC4}"/>
            </c:ext>
          </c:extLst>
        </c:ser>
        <c:ser>
          <c:idx val="4"/>
          <c:order val="4"/>
          <c:tx>
            <c:strRef>
              <c:f>DESP_JANEIRO!$A$90</c:f>
              <c:strCache>
                <c:ptCount val="1"/>
                <c:pt idx="0">
                  <c:v>PRESTAÇÕES/EMPRÉSTIMOS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 w="12700" cmpd="sng">
              <a:noFill/>
            </a:ln>
            <a:effectLst/>
          </c:spPr>
          <c:invertIfNegative val="0"/>
          <c:val>
            <c:numRef>
              <c:f>DESP_JANEIRO!$I$98:$AM$98</c:f>
              <c:numCache>
                <c:formatCode>_("R$"* #,##0.00_);_("R$"* \(#,##0.00\);_("R$"*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3099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84-490C-A994-D99064180AC4}"/>
            </c:ext>
          </c:extLst>
        </c:ser>
        <c:ser>
          <c:idx val="5"/>
          <c:order val="5"/>
          <c:tx>
            <c:strRef>
              <c:f>DESP_JANEIRO!$A$99</c:f>
              <c:strCache>
                <c:ptCount val="1"/>
                <c:pt idx="0">
                  <c:v>ACORDOS</c:v>
                </c:pt>
              </c:strCache>
            </c:strRef>
          </c:tx>
          <c:spPr>
            <a:solidFill>
              <a:schemeClr val="tx1"/>
            </a:solidFill>
            <a:ln w="12700" cmpd="sng">
              <a:noFill/>
            </a:ln>
            <a:effectLst/>
          </c:spPr>
          <c:invertIfNegative val="0"/>
          <c:val>
            <c:numRef>
              <c:f>DESP_JANEIRO!$I$104:$AM$104</c:f>
              <c:numCache>
                <c:formatCode>_("R$"* #,##0.00_);_("R$"* \(#,##0.00\);_("R$"*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10606.05</c:v>
                </c:pt>
                <c:pt idx="8">
                  <c:v>0</c:v>
                </c:pt>
                <c:pt idx="9">
                  <c:v>0</c:v>
                </c:pt>
                <c:pt idx="10">
                  <c:v>3030.3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984-490C-A994-D99064180AC4}"/>
            </c:ext>
          </c:extLst>
        </c:ser>
        <c:ser>
          <c:idx val="6"/>
          <c:order val="6"/>
          <c:tx>
            <c:strRef>
              <c:f>DESP_JANEIRO!$A$105</c:f>
              <c:strCache>
                <c:ptCount val="1"/>
                <c:pt idx="0">
                  <c:v>EXTRAS ENERGIA EMPRESA AGDES</c:v>
                </c:pt>
              </c:strCache>
            </c:strRef>
          </c:tx>
          <c:spPr>
            <a:solidFill>
              <a:srgbClr val="FFFF01"/>
            </a:solidFill>
            <a:ln w="12700" cmpd="sng">
              <a:noFill/>
            </a:ln>
            <a:effectLst/>
          </c:spPr>
          <c:invertIfNegative val="0"/>
          <c:val>
            <c:numRef>
              <c:f>DESP_JANEIRO!$I$112:$AM$112</c:f>
              <c:numCache>
                <c:formatCode>_("R$"* #,##0.00_);_("R$"* \(#,##0.00\);_("R$"*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931.52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2221.7399999999998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84-490C-A994-D99064180AC4}"/>
            </c:ext>
          </c:extLst>
        </c:ser>
        <c:ser>
          <c:idx val="7"/>
          <c:order val="7"/>
          <c:tx>
            <c:strRef>
              <c:f>DESP_JANEIRO!$A$113</c:f>
              <c:strCache>
                <c:ptCount val="1"/>
                <c:pt idx="0">
                  <c:v>ADVOGADO/JURÍDICO</c:v>
                </c:pt>
              </c:strCache>
            </c:strRef>
          </c:tx>
          <c:spPr>
            <a:solidFill>
              <a:srgbClr val="FF0000"/>
            </a:solidFill>
            <a:ln w="12700" cmpd="sng">
              <a:noFill/>
            </a:ln>
            <a:effectLst/>
          </c:spPr>
          <c:invertIfNegative val="0"/>
          <c:val>
            <c:numRef>
              <c:f>DESP_JANEIRO!$I$122:$AM$122</c:f>
              <c:numCache>
                <c:formatCode>_("R$"* #,##0.00_);_("R$"* \(#,##0.00\);_("R$"* "-"??_);_(@_)</c:formatCode>
                <c:ptCount val="31"/>
                <c:pt idx="0">
                  <c:v>1750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2750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984-490C-A994-D99064180AC4}"/>
            </c:ext>
          </c:extLst>
        </c:ser>
        <c:ser>
          <c:idx val="8"/>
          <c:order val="8"/>
          <c:tx>
            <c:strRef>
              <c:f>DESP_JANEIRO!$A$123</c:f>
              <c:strCache>
                <c:ptCount val="1"/>
                <c:pt idx="0">
                  <c:v>PAGAMENTO DE SALÁRIOS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12700" cmpd="sng">
              <a:noFill/>
            </a:ln>
            <a:effectLst/>
          </c:spPr>
          <c:invertIfNegative val="0"/>
          <c:val>
            <c:numRef>
              <c:f>DESP_JANEIRO!$I$131:$AM$131</c:f>
              <c:numCache>
                <c:formatCode>_("R$"* #,##0.00_);_("R$"* \(#,##0.00\);_("R$"*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6900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1081</c:v>
                </c:pt>
                <c:pt idx="10">
                  <c:v>0</c:v>
                </c:pt>
                <c:pt idx="11">
                  <c:v>6900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6900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984-490C-A994-D99064180AC4}"/>
            </c:ext>
          </c:extLst>
        </c:ser>
        <c:ser>
          <c:idx val="9"/>
          <c:order val="9"/>
          <c:tx>
            <c:strRef>
              <c:f>DESP_JANEIRO!$A$132</c:f>
              <c:strCache>
                <c:ptCount val="1"/>
                <c:pt idx="0">
                  <c:v>IMPOSTOS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12700" cmpd="sng">
              <a:noFill/>
            </a:ln>
            <a:effectLst/>
          </c:spPr>
          <c:invertIfNegative val="0"/>
          <c:val>
            <c:numRef>
              <c:f>DESP_JANEIRO!$I$138:$AM$138</c:f>
              <c:numCache>
                <c:formatCode>_("R$"* #,##0.00_);_("R$"* \(#,##0.00\);_("R$"*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4523.95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984-490C-A994-D99064180AC4}"/>
            </c:ext>
          </c:extLst>
        </c:ser>
        <c:ser>
          <c:idx val="10"/>
          <c:order val="10"/>
          <c:tx>
            <c:strRef>
              <c:f>DESP_JANEIRO!$A$139</c:f>
              <c:strCache>
                <c:ptCount val="1"/>
                <c:pt idx="0">
                  <c:v>EXTRAS EMPRESA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 w="12700" cmpd="sng">
              <a:noFill/>
            </a:ln>
            <a:effectLst/>
          </c:spPr>
          <c:invertIfNegative val="0"/>
          <c:val>
            <c:numRef>
              <c:f>DESP_JANEIRO!$I$153:$AM$153</c:f>
              <c:numCache>
                <c:formatCode>_("R$"* #,##0.00_);_("R$"* \(#,##0.00\);_("R$"* "-"??_);_(@_)</c:formatCode>
                <c:ptCount val="31"/>
                <c:pt idx="0">
                  <c:v>8945.7099999999991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13500</c:v>
                </c:pt>
                <c:pt idx="6">
                  <c:v>0</c:v>
                </c:pt>
                <c:pt idx="7">
                  <c:v>0</c:v>
                </c:pt>
                <c:pt idx="8">
                  <c:v>8042.83</c:v>
                </c:pt>
                <c:pt idx="9">
                  <c:v>0</c:v>
                </c:pt>
                <c:pt idx="10">
                  <c:v>3624</c:v>
                </c:pt>
                <c:pt idx="11">
                  <c:v>0</c:v>
                </c:pt>
                <c:pt idx="12">
                  <c:v>596.70000000000005</c:v>
                </c:pt>
                <c:pt idx="13">
                  <c:v>0</c:v>
                </c:pt>
                <c:pt idx="14">
                  <c:v>7827.08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13500</c:v>
                </c:pt>
                <c:pt idx="20">
                  <c:v>0</c:v>
                </c:pt>
                <c:pt idx="21">
                  <c:v>0</c:v>
                </c:pt>
                <c:pt idx="22">
                  <c:v>4377.08</c:v>
                </c:pt>
                <c:pt idx="23">
                  <c:v>0</c:v>
                </c:pt>
                <c:pt idx="24">
                  <c:v>1889.57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984-490C-A994-D99064180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28059312"/>
        <c:axId val="528062640"/>
      </c:barChart>
      <c:catAx>
        <c:axId val="528059312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tx1">
                  <a:lumMod val="50000"/>
                  <a:lumOff val="50000"/>
                  <a:alpha val="32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3175" cap="flat" cmpd="sng" algn="ctr">
            <a:noFill/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5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8062640"/>
        <c:crosses val="autoZero"/>
        <c:auto val="1"/>
        <c:lblAlgn val="ctr"/>
        <c:lblOffset val="100"/>
        <c:noMultiLvlLbl val="0"/>
      </c:catAx>
      <c:valAx>
        <c:axId val="528062640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50000"/>
                  <a:lumOff val="50000"/>
                  <a:alpha val="32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2">
                <a:lumMod val="7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8059312"/>
        <c:crosses val="autoZero"/>
        <c:crossBetween val="between"/>
      </c:valAx>
      <c:spPr>
        <a:noFill/>
        <a:ln w="0" cmpd="sng">
          <a:solidFill>
            <a:schemeClr val="accent1"/>
          </a:solidFill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 baseline="0">
          <a:ln>
            <a:noFill/>
          </a:ln>
          <a:solidFill>
            <a:schemeClr val="tx1"/>
          </a:solidFill>
        </a:defRPr>
      </a:pPr>
      <a:endParaRPr lang="pt-BR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tx1"/>
                </a:solidFill>
              </a:rPr>
              <a:t>despesa,</a:t>
            </a:r>
            <a:r>
              <a:rPr lang="pt-BR" baseline="0">
                <a:solidFill>
                  <a:schemeClr val="tx1"/>
                </a:solidFill>
              </a:rPr>
              <a:t> renda, saldo cumulativos  - previsto e efetivo</a:t>
            </a:r>
          </a:p>
          <a:p>
            <a:pPr>
              <a:defRPr>
                <a:solidFill>
                  <a:schemeClr val="tx1"/>
                </a:solidFill>
              </a:defRPr>
            </a:pPr>
            <a:endParaRPr lang="pt-BR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5420002556703475"/>
          <c:y val="5.83470559800950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861442829680356"/>
          <c:y val="3.3627370278959165E-2"/>
          <c:w val="0.84076574803149606"/>
          <c:h val="0.87346898939125672"/>
        </c:manualLayout>
      </c:layout>
      <c:barChart>
        <c:barDir val="col"/>
        <c:grouping val="clustered"/>
        <c:varyColors val="0"/>
        <c:ser>
          <c:idx val="0"/>
          <c:order val="0"/>
          <c:tx>
            <c:v>Renda Prevista</c:v>
          </c:tx>
          <c:spPr>
            <a:solidFill>
              <a:srgbClr val="3864B2"/>
            </a:solidFill>
            <a:ln>
              <a:noFill/>
            </a:ln>
            <a:effectLst/>
          </c:spPr>
          <c:invertIfNegative val="0"/>
          <c:val>
            <c:numRef>
              <c:f>DESP_JANEIRO!$I$170:$AM$170</c:f>
              <c:numCache>
                <c:formatCode>_("R$"* #,##0.00_);_("R$"* \(#,##0.00\);_("R$"* "-"??_);_(@_)</c:formatCode>
                <c:ptCount val="31"/>
                <c:pt idx="0">
                  <c:v>9000</c:v>
                </c:pt>
                <c:pt idx="1">
                  <c:v>18000</c:v>
                </c:pt>
                <c:pt idx="2">
                  <c:v>32200</c:v>
                </c:pt>
                <c:pt idx="3">
                  <c:v>32200</c:v>
                </c:pt>
                <c:pt idx="4">
                  <c:v>41200</c:v>
                </c:pt>
                <c:pt idx="5">
                  <c:v>50200</c:v>
                </c:pt>
                <c:pt idx="6">
                  <c:v>59200</c:v>
                </c:pt>
                <c:pt idx="7">
                  <c:v>68200</c:v>
                </c:pt>
                <c:pt idx="8">
                  <c:v>77200</c:v>
                </c:pt>
                <c:pt idx="9">
                  <c:v>80800</c:v>
                </c:pt>
                <c:pt idx="10">
                  <c:v>80800</c:v>
                </c:pt>
                <c:pt idx="11">
                  <c:v>89800</c:v>
                </c:pt>
                <c:pt idx="12">
                  <c:v>98800</c:v>
                </c:pt>
                <c:pt idx="13">
                  <c:v>107800</c:v>
                </c:pt>
                <c:pt idx="14">
                  <c:v>116800</c:v>
                </c:pt>
                <c:pt idx="15">
                  <c:v>125800</c:v>
                </c:pt>
                <c:pt idx="16">
                  <c:v>129400</c:v>
                </c:pt>
                <c:pt idx="17">
                  <c:v>129400</c:v>
                </c:pt>
                <c:pt idx="18">
                  <c:v>138400</c:v>
                </c:pt>
                <c:pt idx="19">
                  <c:v>147400</c:v>
                </c:pt>
                <c:pt idx="20">
                  <c:v>156400</c:v>
                </c:pt>
                <c:pt idx="21">
                  <c:v>165400</c:v>
                </c:pt>
                <c:pt idx="22">
                  <c:v>174400</c:v>
                </c:pt>
                <c:pt idx="23">
                  <c:v>178000</c:v>
                </c:pt>
                <c:pt idx="24">
                  <c:v>178000</c:v>
                </c:pt>
                <c:pt idx="25">
                  <c:v>187000</c:v>
                </c:pt>
                <c:pt idx="26">
                  <c:v>196000</c:v>
                </c:pt>
                <c:pt idx="27">
                  <c:v>205000</c:v>
                </c:pt>
                <c:pt idx="28">
                  <c:v>214000</c:v>
                </c:pt>
                <c:pt idx="29">
                  <c:v>223000</c:v>
                </c:pt>
                <c:pt idx="30">
                  <c:v>226600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5-47C8-97B3-2543CDFE9C56}"/>
            </c:ext>
          </c:extLst>
        </c:ser>
        <c:ser>
          <c:idx val="1"/>
          <c:order val="1"/>
          <c:tx>
            <c:v>Renda Efetiva</c:v>
          </c:tx>
          <c:spPr>
            <a:solidFill>
              <a:srgbClr val="86A4DA"/>
            </a:solidFill>
            <a:ln>
              <a:noFill/>
            </a:ln>
            <a:effectLst/>
          </c:spPr>
          <c:invertIfNegative val="0"/>
          <c:val>
            <c:numRef>
              <c:f>DESP_JANEIRO!$I$173:$AM$173</c:f>
              <c:numCache>
                <c:formatCode>_("R$"* #,##0.00_);_("R$"* \(#,##0.00\);_("R$"* "-"??_);_(@_)</c:formatCode>
                <c:ptCount val="31"/>
                <c:pt idx="0">
                  <c:v>10000</c:v>
                </c:pt>
                <c:pt idx="1">
                  <c:v>15000</c:v>
                </c:pt>
                <c:pt idx="2">
                  <c:v>15000</c:v>
                </c:pt>
                <c:pt idx="3">
                  <c:v>15000</c:v>
                </c:pt>
                <c:pt idx="4">
                  <c:v>20000</c:v>
                </c:pt>
                <c:pt idx="5">
                  <c:v>20000</c:v>
                </c:pt>
                <c:pt idx="6">
                  <c:v>20000</c:v>
                </c:pt>
                <c:pt idx="7">
                  <c:v>20000</c:v>
                </c:pt>
                <c:pt idx="8">
                  <c:v>20000</c:v>
                </c:pt>
                <c:pt idx="9">
                  <c:v>20000</c:v>
                </c:pt>
                <c:pt idx="10">
                  <c:v>20000</c:v>
                </c:pt>
                <c:pt idx="11">
                  <c:v>20000</c:v>
                </c:pt>
                <c:pt idx="12">
                  <c:v>20000</c:v>
                </c:pt>
                <c:pt idx="13">
                  <c:v>20000</c:v>
                </c:pt>
                <c:pt idx="14">
                  <c:v>20000</c:v>
                </c:pt>
                <c:pt idx="15">
                  <c:v>20000</c:v>
                </c:pt>
                <c:pt idx="16">
                  <c:v>20000</c:v>
                </c:pt>
                <c:pt idx="17">
                  <c:v>20000</c:v>
                </c:pt>
                <c:pt idx="18">
                  <c:v>20000</c:v>
                </c:pt>
                <c:pt idx="19">
                  <c:v>20000</c:v>
                </c:pt>
                <c:pt idx="20">
                  <c:v>20000</c:v>
                </c:pt>
                <c:pt idx="21">
                  <c:v>20000</c:v>
                </c:pt>
                <c:pt idx="22">
                  <c:v>20000</c:v>
                </c:pt>
                <c:pt idx="23">
                  <c:v>20000</c:v>
                </c:pt>
                <c:pt idx="24">
                  <c:v>20000</c:v>
                </c:pt>
                <c:pt idx="25">
                  <c:v>20000</c:v>
                </c:pt>
                <c:pt idx="26">
                  <c:v>20000</c:v>
                </c:pt>
                <c:pt idx="27">
                  <c:v>20000</c:v>
                </c:pt>
                <c:pt idx="28">
                  <c:v>20000</c:v>
                </c:pt>
                <c:pt idx="29">
                  <c:v>20000</c:v>
                </c:pt>
                <c:pt idx="30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75-47C8-97B3-2543CDFE9C56}"/>
            </c:ext>
          </c:extLst>
        </c:ser>
        <c:ser>
          <c:idx val="2"/>
          <c:order val="2"/>
          <c:tx>
            <c:v>Despesa Prevista</c:v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75-47C8-97B3-2543CDFE9C56}"/>
              </c:ext>
            </c:extLst>
          </c:dPt>
          <c:val>
            <c:numRef>
              <c:f>DESP_JANEIRO!$I$155:$AM$155</c:f>
              <c:numCache>
                <c:formatCode>_("R$"* #,##0.00_);_("R$"* \(#,##0.00\);_("R$"* "-"??_);_(@_)</c:formatCode>
                <c:ptCount val="31"/>
                <c:pt idx="0">
                  <c:v>13199.619999999999</c:v>
                </c:pt>
                <c:pt idx="1">
                  <c:v>21349.62</c:v>
                </c:pt>
                <c:pt idx="2">
                  <c:v>23725.52</c:v>
                </c:pt>
                <c:pt idx="3">
                  <c:v>23748.510000000002</c:v>
                </c:pt>
                <c:pt idx="4">
                  <c:v>36130.47</c:v>
                </c:pt>
                <c:pt idx="5">
                  <c:v>51175.06</c:v>
                </c:pt>
                <c:pt idx="6">
                  <c:v>57579.47</c:v>
                </c:pt>
                <c:pt idx="7">
                  <c:v>68185.52</c:v>
                </c:pt>
                <c:pt idx="8">
                  <c:v>77159.87</c:v>
                </c:pt>
                <c:pt idx="9">
                  <c:v>79745.489999999991</c:v>
                </c:pt>
                <c:pt idx="10">
                  <c:v>89345.209999999992</c:v>
                </c:pt>
                <c:pt idx="11">
                  <c:v>96404.849999999991</c:v>
                </c:pt>
                <c:pt idx="12">
                  <c:v>99223.29</c:v>
                </c:pt>
                <c:pt idx="13">
                  <c:v>99223.29</c:v>
                </c:pt>
                <c:pt idx="14">
                  <c:v>112529.37</c:v>
                </c:pt>
                <c:pt idx="15">
                  <c:v>112529.37</c:v>
                </c:pt>
                <c:pt idx="16">
                  <c:v>113539.37</c:v>
                </c:pt>
                <c:pt idx="17">
                  <c:v>113539.37</c:v>
                </c:pt>
                <c:pt idx="18">
                  <c:v>120439.37</c:v>
                </c:pt>
                <c:pt idx="19">
                  <c:v>134659.37</c:v>
                </c:pt>
                <c:pt idx="20">
                  <c:v>134659.37</c:v>
                </c:pt>
                <c:pt idx="21">
                  <c:v>134756.35999999999</c:v>
                </c:pt>
                <c:pt idx="22">
                  <c:v>139133.43999999997</c:v>
                </c:pt>
                <c:pt idx="23">
                  <c:v>139133.43999999997</c:v>
                </c:pt>
                <c:pt idx="24">
                  <c:v>144679.59999999998</c:v>
                </c:pt>
                <c:pt idx="25">
                  <c:v>157689.72999999998</c:v>
                </c:pt>
                <c:pt idx="26">
                  <c:v>158213.79999999999</c:v>
                </c:pt>
                <c:pt idx="27">
                  <c:v>165553.65</c:v>
                </c:pt>
                <c:pt idx="28">
                  <c:v>165553.65</c:v>
                </c:pt>
                <c:pt idx="29">
                  <c:v>171017.60000000001</c:v>
                </c:pt>
                <c:pt idx="30">
                  <c:v>171017.60000000001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75-47C8-97B3-2543CDFE9C56}"/>
            </c:ext>
          </c:extLst>
        </c:ser>
        <c:ser>
          <c:idx val="3"/>
          <c:order val="3"/>
          <c:tx>
            <c:v>'Despesas Pagas'</c:v>
          </c:tx>
          <c:spPr>
            <a:solidFill>
              <a:srgbClr val="FF5B5B"/>
            </a:solidFill>
            <a:ln>
              <a:noFill/>
            </a:ln>
            <a:effectLst/>
          </c:spPr>
          <c:invertIfNegative val="0"/>
          <c:val>
            <c:numRef>
              <c:f>DESP_JANEIRO!$I$157:$AM$157</c:f>
              <c:numCache>
                <c:formatCode>_("R$"* #,##0.00_);_("R$"* \(#,##0.00\);_("R$"* "-"??_);_(@_)</c:formatCode>
                <c:ptCount val="31"/>
                <c:pt idx="0">
                  <c:v>0</c:v>
                </c:pt>
                <c:pt idx="1">
                  <c:v>6650</c:v>
                </c:pt>
                <c:pt idx="2">
                  <c:v>6650</c:v>
                </c:pt>
                <c:pt idx="3">
                  <c:v>6650</c:v>
                </c:pt>
                <c:pt idx="4">
                  <c:v>6650</c:v>
                </c:pt>
                <c:pt idx="5">
                  <c:v>6650</c:v>
                </c:pt>
                <c:pt idx="6">
                  <c:v>6650</c:v>
                </c:pt>
                <c:pt idx="7">
                  <c:v>6650</c:v>
                </c:pt>
                <c:pt idx="8">
                  <c:v>6650</c:v>
                </c:pt>
                <c:pt idx="9">
                  <c:v>7420.07</c:v>
                </c:pt>
                <c:pt idx="10">
                  <c:v>7420.07</c:v>
                </c:pt>
                <c:pt idx="11">
                  <c:v>9200.14</c:v>
                </c:pt>
                <c:pt idx="12">
                  <c:v>9200.14</c:v>
                </c:pt>
                <c:pt idx="13">
                  <c:v>9200.14</c:v>
                </c:pt>
                <c:pt idx="14">
                  <c:v>9200.14</c:v>
                </c:pt>
                <c:pt idx="15">
                  <c:v>9200.14</c:v>
                </c:pt>
                <c:pt idx="16">
                  <c:v>9200.14</c:v>
                </c:pt>
                <c:pt idx="17">
                  <c:v>9200.14</c:v>
                </c:pt>
                <c:pt idx="18">
                  <c:v>9200.14</c:v>
                </c:pt>
                <c:pt idx="19">
                  <c:v>9200.14</c:v>
                </c:pt>
                <c:pt idx="20">
                  <c:v>9200.14</c:v>
                </c:pt>
                <c:pt idx="21">
                  <c:v>9200.14</c:v>
                </c:pt>
                <c:pt idx="22">
                  <c:v>9200.14</c:v>
                </c:pt>
                <c:pt idx="23">
                  <c:v>9200.14</c:v>
                </c:pt>
                <c:pt idx="24">
                  <c:v>9200.14</c:v>
                </c:pt>
                <c:pt idx="25">
                  <c:v>9200.14</c:v>
                </c:pt>
                <c:pt idx="26">
                  <c:v>9200.14</c:v>
                </c:pt>
                <c:pt idx="27">
                  <c:v>9200.14</c:v>
                </c:pt>
                <c:pt idx="28">
                  <c:v>9200.14</c:v>
                </c:pt>
                <c:pt idx="29">
                  <c:v>9200.14</c:v>
                </c:pt>
                <c:pt idx="30">
                  <c:v>9200.14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63-441F-877C-43E0B41FD75C}"/>
            </c:ext>
          </c:extLst>
        </c:ser>
        <c:ser>
          <c:idx val="4"/>
          <c:order val="4"/>
          <c:tx>
            <c:v>Saldo Previsto</c:v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DESP_JANEIRO!$I$171:$AM$171</c:f>
              <c:numCache>
                <c:formatCode>_("R$"* #,##0.00_);_("R$"* \(#,##0.00\);_("R$"* "-"??_);_(@_)</c:formatCode>
                <c:ptCount val="31"/>
                <c:pt idx="0">
                  <c:v>-4199.619999999999</c:v>
                </c:pt>
                <c:pt idx="1">
                  <c:v>-3349.619999999999</c:v>
                </c:pt>
                <c:pt idx="2">
                  <c:v>8474.48</c:v>
                </c:pt>
                <c:pt idx="3">
                  <c:v>8451.489999999998</c:v>
                </c:pt>
                <c:pt idx="4">
                  <c:v>5069.5299999999988</c:v>
                </c:pt>
                <c:pt idx="5">
                  <c:v>-975.05999999999767</c:v>
                </c:pt>
                <c:pt idx="6">
                  <c:v>1620.5299999999988</c:v>
                </c:pt>
                <c:pt idx="7">
                  <c:v>14.479999999995925</c:v>
                </c:pt>
                <c:pt idx="8">
                  <c:v>40.130000000004657</c:v>
                </c:pt>
                <c:pt idx="9">
                  <c:v>1054.5100000000093</c:v>
                </c:pt>
                <c:pt idx="10">
                  <c:v>-8545.2099999999919</c:v>
                </c:pt>
                <c:pt idx="11">
                  <c:v>-6604.8499999999913</c:v>
                </c:pt>
                <c:pt idx="12">
                  <c:v>-423.2899999999936</c:v>
                </c:pt>
                <c:pt idx="13">
                  <c:v>8576.7100000000064</c:v>
                </c:pt>
                <c:pt idx="14">
                  <c:v>4270.6300000000047</c:v>
                </c:pt>
                <c:pt idx="15">
                  <c:v>13270.630000000005</c:v>
                </c:pt>
                <c:pt idx="16">
                  <c:v>15860.630000000005</c:v>
                </c:pt>
                <c:pt idx="17">
                  <c:v>15860.630000000005</c:v>
                </c:pt>
                <c:pt idx="18">
                  <c:v>17960.630000000005</c:v>
                </c:pt>
                <c:pt idx="19">
                  <c:v>12740.630000000005</c:v>
                </c:pt>
                <c:pt idx="20">
                  <c:v>21740.630000000005</c:v>
                </c:pt>
                <c:pt idx="21">
                  <c:v>30643.640000000014</c:v>
                </c:pt>
                <c:pt idx="22">
                  <c:v>35266.560000000027</c:v>
                </c:pt>
                <c:pt idx="23">
                  <c:v>38866.560000000027</c:v>
                </c:pt>
                <c:pt idx="24">
                  <c:v>33320.400000000023</c:v>
                </c:pt>
                <c:pt idx="25">
                  <c:v>29310.270000000019</c:v>
                </c:pt>
                <c:pt idx="26">
                  <c:v>37786.200000000012</c:v>
                </c:pt>
                <c:pt idx="27">
                  <c:v>39446.350000000006</c:v>
                </c:pt>
                <c:pt idx="28">
                  <c:v>48446.350000000006</c:v>
                </c:pt>
                <c:pt idx="29">
                  <c:v>51982.399999999994</c:v>
                </c:pt>
                <c:pt idx="30">
                  <c:v>55582.399999999994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63-441F-877C-43E0B41FD75C}"/>
            </c:ext>
          </c:extLst>
        </c:ser>
        <c:ser>
          <c:idx val="5"/>
          <c:order val="5"/>
          <c:tx>
            <c:v>Saldo Efetivo</c:v>
          </c:tx>
          <c:spPr>
            <a:solidFill>
              <a:srgbClr val="89C064"/>
            </a:solidFill>
            <a:ln>
              <a:noFill/>
            </a:ln>
            <a:effectLst/>
          </c:spPr>
          <c:invertIfNegative val="0"/>
          <c:val>
            <c:numRef>
              <c:f>DESP_JANEIRO!$I$174:$AM$174</c:f>
              <c:numCache>
                <c:formatCode>_("R$"* #,##0.00_);_("R$"* \(#,##0.00\);_("R$"* "-"??_);_(@_)</c:formatCode>
                <c:ptCount val="31"/>
                <c:pt idx="0">
                  <c:v>10000</c:v>
                </c:pt>
                <c:pt idx="1">
                  <c:v>8350</c:v>
                </c:pt>
                <c:pt idx="2">
                  <c:v>8350</c:v>
                </c:pt>
                <c:pt idx="3">
                  <c:v>8350</c:v>
                </c:pt>
                <c:pt idx="4">
                  <c:v>13350</c:v>
                </c:pt>
                <c:pt idx="5">
                  <c:v>13350</c:v>
                </c:pt>
                <c:pt idx="6">
                  <c:v>13350</c:v>
                </c:pt>
                <c:pt idx="7">
                  <c:v>13350</c:v>
                </c:pt>
                <c:pt idx="8">
                  <c:v>13350</c:v>
                </c:pt>
                <c:pt idx="9">
                  <c:v>12579.93</c:v>
                </c:pt>
                <c:pt idx="10">
                  <c:v>12579.93</c:v>
                </c:pt>
                <c:pt idx="11">
                  <c:v>10799.86</c:v>
                </c:pt>
                <c:pt idx="12">
                  <c:v>10799.86</c:v>
                </c:pt>
                <c:pt idx="13">
                  <c:v>10799.86</c:v>
                </c:pt>
                <c:pt idx="14">
                  <c:v>10799.86</c:v>
                </c:pt>
                <c:pt idx="15">
                  <c:v>10799.86</c:v>
                </c:pt>
                <c:pt idx="16">
                  <c:v>10799.86</c:v>
                </c:pt>
                <c:pt idx="17">
                  <c:v>10799.86</c:v>
                </c:pt>
                <c:pt idx="18">
                  <c:v>10799.86</c:v>
                </c:pt>
                <c:pt idx="19">
                  <c:v>10799.86</c:v>
                </c:pt>
                <c:pt idx="20">
                  <c:v>10799.86</c:v>
                </c:pt>
                <c:pt idx="21">
                  <c:v>10799.86</c:v>
                </c:pt>
                <c:pt idx="22">
                  <c:v>10799.86</c:v>
                </c:pt>
                <c:pt idx="23">
                  <c:v>10799.86</c:v>
                </c:pt>
                <c:pt idx="24">
                  <c:v>10799.86</c:v>
                </c:pt>
                <c:pt idx="25">
                  <c:v>10799.86</c:v>
                </c:pt>
                <c:pt idx="26">
                  <c:v>10799.86</c:v>
                </c:pt>
                <c:pt idx="27">
                  <c:v>10799.86</c:v>
                </c:pt>
                <c:pt idx="28">
                  <c:v>10799.86</c:v>
                </c:pt>
                <c:pt idx="29">
                  <c:v>10799.86</c:v>
                </c:pt>
                <c:pt idx="30">
                  <c:v>10799.86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63-441F-877C-43E0B41FD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28059312"/>
        <c:axId val="528062640"/>
      </c:barChart>
      <c:catAx>
        <c:axId val="528059312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tx1">
                  <a:lumMod val="50000"/>
                  <a:lumOff val="50000"/>
                  <a:alpha val="32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5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8062640"/>
        <c:crosses val="autoZero"/>
        <c:auto val="1"/>
        <c:lblAlgn val="ctr"/>
        <c:lblOffset val="100"/>
        <c:noMultiLvlLbl val="0"/>
      </c:catAx>
      <c:valAx>
        <c:axId val="528062640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50000"/>
                  <a:lumOff val="50000"/>
                  <a:alpha val="32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8059312"/>
        <c:crosses val="autoZero"/>
        <c:crossBetween val="between"/>
      </c:valAx>
      <c:spPr>
        <a:noFill/>
        <a:ln cmpd="sng"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.28341840144095276"/>
          <c:y val="0.95614462519891885"/>
          <c:w val="0.55702061803749792"/>
          <c:h val="4.3018142222082452E-2"/>
        </c:manualLayout>
      </c:layout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 baseline="0">
          <a:ln>
            <a:noFill/>
          </a:ln>
        </a:defRPr>
      </a:pPr>
      <a:endParaRPr lang="pt-BR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242398</xdr:colOff>
      <xdr:row>210</xdr:row>
      <xdr:rowOff>119062</xdr:rowOff>
    </xdr:from>
    <xdr:to>
      <xdr:col>15</xdr:col>
      <xdr:colOff>972344</xdr:colOff>
      <xdr:row>245</xdr:row>
      <xdr:rowOff>17318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0D32993-81FA-4EC7-AFC7-B5E8EA6B7B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214780</xdr:colOff>
      <xdr:row>176</xdr:row>
      <xdr:rowOff>112796</xdr:rowOff>
    </xdr:from>
    <xdr:to>
      <xdr:col>15</xdr:col>
      <xdr:colOff>953005</xdr:colOff>
      <xdr:row>210</xdr:row>
      <xdr:rowOff>81934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91619965-B2A6-4C42-A08F-2F5DF3475D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Personalizada 1">
      <a:dk1>
        <a:sysClr val="windowText" lastClr="000000"/>
      </a:dk1>
      <a:lt1>
        <a:sysClr val="window" lastClr="FFFFFF"/>
      </a:lt1>
      <a:dk2>
        <a:srgbClr val="44546A"/>
      </a:dk2>
      <a:lt2>
        <a:srgbClr val="D8D8D8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1DB3-40CA-46F8-8257-F78E7869DB3A}">
  <sheetPr>
    <tabColor rgb="FFFABCBC"/>
    <pageSetUpPr fitToPage="1"/>
  </sheetPr>
  <dimension ref="A1:BL258"/>
  <sheetViews>
    <sheetView tabSelected="1" zoomScale="69" zoomScaleNormal="69" workbookViewId="0">
      <pane xSplit="8" ySplit="4" topLeftCell="AC5" activePane="bottomRight" state="frozen"/>
      <selection pane="topRight" activeCell="I1" sqref="I1"/>
      <selection pane="bottomLeft" activeCell="A5" sqref="A5"/>
      <selection pane="bottomRight" activeCell="AR67" sqref="AR67"/>
    </sheetView>
  </sheetViews>
  <sheetFormatPr defaultRowHeight="15" x14ac:dyDescent="0.25"/>
  <cols>
    <col min="1" max="1" width="36.7109375" customWidth="1"/>
    <col min="2" max="2" width="16.85546875" customWidth="1"/>
    <col min="3" max="3" width="9.7109375" customWidth="1"/>
    <col min="4" max="4" width="17" customWidth="1"/>
    <col min="5" max="5" width="8.5703125" customWidth="1"/>
    <col min="6" max="6" width="18.5703125" customWidth="1"/>
    <col min="7" max="7" width="8.7109375" customWidth="1"/>
    <col min="8" max="8" width="1.28515625" customWidth="1"/>
    <col min="9" max="10" width="16" customWidth="1"/>
    <col min="11" max="11" width="17.140625" customWidth="1"/>
    <col min="12" max="17" width="16" customWidth="1"/>
    <col min="18" max="39" width="17.28515625" customWidth="1"/>
    <col min="40" max="40" width="19.7109375" customWidth="1"/>
    <col min="41" max="41" width="19.7109375" hidden="1" customWidth="1"/>
    <col min="43" max="45" width="15.7109375" customWidth="1"/>
    <col min="46" max="56" width="18.7109375" customWidth="1"/>
  </cols>
  <sheetData>
    <row r="1" spans="1:56" ht="18" customHeight="1" thickBot="1" x14ac:dyDescent="0.35">
      <c r="A1" s="159" t="s">
        <v>32</v>
      </c>
      <c r="B1" s="159"/>
      <c r="C1" s="13"/>
      <c r="D1" s="160" t="s">
        <v>144</v>
      </c>
      <c r="E1" s="161">
        <v>2026</v>
      </c>
      <c r="F1" s="18" t="s">
        <v>29</v>
      </c>
      <c r="G1" s="162">
        <f>DAY(A256)</f>
        <v>31</v>
      </c>
      <c r="H1" s="16"/>
      <c r="I1" s="17">
        <f t="shared" ref="I1:AM1" si="0">IF(I256&gt;$I258,"",WEEKDAY(I256))</f>
        <v>5</v>
      </c>
      <c r="J1" s="17">
        <f t="shared" si="0"/>
        <v>6</v>
      </c>
      <c r="K1" s="17">
        <f t="shared" si="0"/>
        <v>7</v>
      </c>
      <c r="L1" s="17">
        <f t="shared" si="0"/>
        <v>1</v>
      </c>
      <c r="M1" s="17">
        <f t="shared" si="0"/>
        <v>2</v>
      </c>
      <c r="N1" s="17">
        <f t="shared" si="0"/>
        <v>3</v>
      </c>
      <c r="O1" s="17">
        <f t="shared" si="0"/>
        <v>4</v>
      </c>
      <c r="P1" s="17">
        <f t="shared" si="0"/>
        <v>5</v>
      </c>
      <c r="Q1" s="17">
        <f t="shared" si="0"/>
        <v>6</v>
      </c>
      <c r="R1" s="17">
        <f t="shared" si="0"/>
        <v>7</v>
      </c>
      <c r="S1" s="17">
        <f t="shared" si="0"/>
        <v>1</v>
      </c>
      <c r="T1" s="17">
        <f t="shared" si="0"/>
        <v>2</v>
      </c>
      <c r="U1" s="17">
        <f t="shared" si="0"/>
        <v>3</v>
      </c>
      <c r="V1" s="17">
        <f t="shared" si="0"/>
        <v>4</v>
      </c>
      <c r="W1" s="17">
        <f t="shared" si="0"/>
        <v>5</v>
      </c>
      <c r="X1" s="17">
        <f t="shared" si="0"/>
        <v>6</v>
      </c>
      <c r="Y1" s="17">
        <f t="shared" si="0"/>
        <v>7</v>
      </c>
      <c r="Z1" s="17">
        <f t="shared" si="0"/>
        <v>1</v>
      </c>
      <c r="AA1" s="17">
        <f t="shared" si="0"/>
        <v>2</v>
      </c>
      <c r="AB1" s="17">
        <f t="shared" si="0"/>
        <v>3</v>
      </c>
      <c r="AC1" s="17">
        <f t="shared" si="0"/>
        <v>4</v>
      </c>
      <c r="AD1" s="17">
        <f t="shared" si="0"/>
        <v>5</v>
      </c>
      <c r="AE1" s="17">
        <f t="shared" si="0"/>
        <v>6</v>
      </c>
      <c r="AF1" s="17">
        <f t="shared" si="0"/>
        <v>7</v>
      </c>
      <c r="AG1" s="17">
        <f t="shared" si="0"/>
        <v>1</v>
      </c>
      <c r="AH1" s="17">
        <f t="shared" si="0"/>
        <v>2</v>
      </c>
      <c r="AI1" s="17">
        <f t="shared" si="0"/>
        <v>3</v>
      </c>
      <c r="AJ1" s="17">
        <f t="shared" si="0"/>
        <v>4</v>
      </c>
      <c r="AK1" s="17">
        <f t="shared" si="0"/>
        <v>5</v>
      </c>
      <c r="AL1" s="17">
        <f t="shared" si="0"/>
        <v>6</v>
      </c>
      <c r="AM1" s="17">
        <f t="shared" si="0"/>
        <v>7</v>
      </c>
      <c r="AN1" s="169" t="s">
        <v>68</v>
      </c>
      <c r="AO1" s="284"/>
      <c r="AQ1" s="274" t="s">
        <v>209</v>
      </c>
      <c r="AR1" s="275"/>
      <c r="AS1" s="274" t="s">
        <v>209</v>
      </c>
      <c r="AT1" s="276"/>
      <c r="AU1" s="274" t="s">
        <v>209</v>
      </c>
      <c r="AV1" s="276"/>
      <c r="AW1" s="274" t="s">
        <v>209</v>
      </c>
      <c r="AX1" s="276"/>
      <c r="AY1" s="274" t="s">
        <v>209</v>
      </c>
      <c r="AZ1" s="276"/>
      <c r="BA1" s="274" t="s">
        <v>209</v>
      </c>
      <c r="BB1" s="276"/>
      <c r="BC1" s="274" t="s">
        <v>209</v>
      </c>
      <c r="BD1" s="276"/>
    </row>
    <row r="2" spans="1:56" ht="18" customHeight="1" x14ac:dyDescent="0.3">
      <c r="A2" s="163" t="s">
        <v>20</v>
      </c>
      <c r="B2" s="164" t="s">
        <v>46</v>
      </c>
      <c r="C2" s="165"/>
      <c r="D2" s="164" t="s">
        <v>31</v>
      </c>
      <c r="E2" s="105"/>
      <c r="F2" s="156" t="s">
        <v>28</v>
      </c>
      <c r="G2" s="18">
        <f ca="1">DAY(TODAY())</f>
        <v>13</v>
      </c>
      <c r="H2" s="11"/>
      <c r="I2" s="18">
        <v>1</v>
      </c>
      <c r="J2" s="18">
        <f>I2+1</f>
        <v>2</v>
      </c>
      <c r="K2" s="18">
        <f t="shared" ref="K2:AM2" si="1">J2+1</f>
        <v>3</v>
      </c>
      <c r="L2" s="18">
        <f t="shared" si="1"/>
        <v>4</v>
      </c>
      <c r="M2" s="18">
        <f t="shared" si="1"/>
        <v>5</v>
      </c>
      <c r="N2" s="18">
        <f t="shared" si="1"/>
        <v>6</v>
      </c>
      <c r="O2" s="18">
        <f t="shared" si="1"/>
        <v>7</v>
      </c>
      <c r="P2" s="18">
        <f t="shared" si="1"/>
        <v>8</v>
      </c>
      <c r="Q2" s="18">
        <f t="shared" si="1"/>
        <v>9</v>
      </c>
      <c r="R2" s="18">
        <f t="shared" si="1"/>
        <v>10</v>
      </c>
      <c r="S2" s="18">
        <f t="shared" si="1"/>
        <v>11</v>
      </c>
      <c r="T2" s="18">
        <f t="shared" si="1"/>
        <v>12</v>
      </c>
      <c r="U2" s="18">
        <f t="shared" si="1"/>
        <v>13</v>
      </c>
      <c r="V2" s="18">
        <f t="shared" si="1"/>
        <v>14</v>
      </c>
      <c r="W2" s="18">
        <f t="shared" si="1"/>
        <v>15</v>
      </c>
      <c r="X2" s="18">
        <f t="shared" si="1"/>
        <v>16</v>
      </c>
      <c r="Y2" s="18">
        <f t="shared" si="1"/>
        <v>17</v>
      </c>
      <c r="Z2" s="18">
        <f t="shared" si="1"/>
        <v>18</v>
      </c>
      <c r="AA2" s="18">
        <f t="shared" si="1"/>
        <v>19</v>
      </c>
      <c r="AB2" s="18">
        <f t="shared" si="1"/>
        <v>20</v>
      </c>
      <c r="AC2" s="18">
        <f t="shared" si="1"/>
        <v>21</v>
      </c>
      <c r="AD2" s="18">
        <f t="shared" si="1"/>
        <v>22</v>
      </c>
      <c r="AE2" s="18">
        <f t="shared" si="1"/>
        <v>23</v>
      </c>
      <c r="AF2" s="18">
        <f t="shared" si="1"/>
        <v>24</v>
      </c>
      <c r="AG2" s="18">
        <f t="shared" si="1"/>
        <v>25</v>
      </c>
      <c r="AH2" s="18">
        <f t="shared" si="1"/>
        <v>26</v>
      </c>
      <c r="AI2" s="18">
        <f t="shared" si="1"/>
        <v>27</v>
      </c>
      <c r="AJ2" s="18">
        <f t="shared" si="1"/>
        <v>28</v>
      </c>
      <c r="AK2" s="18">
        <f t="shared" si="1"/>
        <v>29</v>
      </c>
      <c r="AL2" s="18">
        <f t="shared" si="1"/>
        <v>30</v>
      </c>
      <c r="AM2" s="18">
        <f t="shared" si="1"/>
        <v>31</v>
      </c>
      <c r="AN2" s="170" t="s">
        <v>69</v>
      </c>
      <c r="AO2" s="284"/>
      <c r="AQ2" s="292">
        <f>+I2</f>
        <v>1</v>
      </c>
      <c r="AR2" s="293"/>
      <c r="AS2" s="294">
        <f>+J2</f>
        <v>2</v>
      </c>
      <c r="AT2" s="295"/>
      <c r="AU2" s="296">
        <f>+K2</f>
        <v>3</v>
      </c>
      <c r="AV2" s="293"/>
      <c r="AW2" s="294">
        <f>+L2</f>
        <v>4</v>
      </c>
      <c r="AX2" s="295"/>
      <c r="AY2" s="296">
        <f>+M2</f>
        <v>5</v>
      </c>
      <c r="AZ2" s="293"/>
      <c r="BA2" s="294">
        <f>+N2</f>
        <v>6</v>
      </c>
      <c r="BB2" s="295"/>
      <c r="BC2" s="296">
        <f>+O2</f>
        <v>7</v>
      </c>
      <c r="BD2" s="297"/>
    </row>
    <row r="3" spans="1:56" ht="15" customHeight="1" x14ac:dyDescent="0.3">
      <c r="A3" s="211" t="s">
        <v>23</v>
      </c>
      <c r="B3" s="150" t="s">
        <v>30</v>
      </c>
      <c r="C3" s="151" t="s">
        <v>26</v>
      </c>
      <c r="D3" s="150" t="s">
        <v>22</v>
      </c>
      <c r="E3" s="151" t="s">
        <v>27</v>
      </c>
      <c r="F3" s="152" t="s">
        <v>21</v>
      </c>
      <c r="G3" s="153" t="s">
        <v>38</v>
      </c>
      <c r="H3" s="12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10"/>
      <c r="AN3" s="13"/>
      <c r="AO3" s="285"/>
      <c r="AQ3" s="298">
        <f>+I1</f>
        <v>5</v>
      </c>
      <c r="AR3" s="299"/>
      <c r="AS3" s="300">
        <f>+J1</f>
        <v>6</v>
      </c>
      <c r="AT3" s="301"/>
      <c r="AU3" s="298">
        <f>+K1</f>
        <v>7</v>
      </c>
      <c r="AV3" s="299"/>
      <c r="AW3" s="300">
        <f>+L1</f>
        <v>1</v>
      </c>
      <c r="AX3" s="301"/>
      <c r="AY3" s="298">
        <f>+M1</f>
        <v>2</v>
      </c>
      <c r="AZ3" s="299"/>
      <c r="BA3" s="300">
        <f>+N1</f>
        <v>3</v>
      </c>
      <c r="BB3" s="301"/>
      <c r="BC3" s="298">
        <f>+O1</f>
        <v>4</v>
      </c>
      <c r="BD3" s="299"/>
    </row>
    <row r="4" spans="1:56" ht="6" customHeight="1" x14ac:dyDescent="0.25">
      <c r="A4" s="107"/>
      <c r="B4" s="108"/>
      <c r="C4" s="107"/>
      <c r="D4" s="108"/>
      <c r="E4" s="107"/>
      <c r="F4" s="108" t="s">
        <v>6</v>
      </c>
      <c r="G4" s="11"/>
      <c r="H4" s="11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286"/>
      <c r="AQ4" s="265"/>
      <c r="AR4" s="266"/>
      <c r="AS4" s="266"/>
      <c r="AT4" s="267"/>
      <c r="AU4" s="268"/>
      <c r="AV4" s="267"/>
      <c r="AW4" s="267"/>
      <c r="AX4" s="267"/>
      <c r="AY4" s="268"/>
      <c r="AZ4" s="267"/>
      <c r="BA4" s="268"/>
      <c r="BB4" s="267"/>
      <c r="BC4" s="268"/>
      <c r="BD4" s="269"/>
    </row>
    <row r="5" spans="1:56" x14ac:dyDescent="0.25">
      <c r="A5" s="212" t="s">
        <v>135</v>
      </c>
      <c r="B5" s="90">
        <v>6650</v>
      </c>
      <c r="C5" s="91">
        <v>2</v>
      </c>
      <c r="D5" s="97">
        <v>6650</v>
      </c>
      <c r="E5" s="166">
        <v>2</v>
      </c>
      <c r="F5" s="84">
        <f ca="1">+IF(TODAY()&lt;DATEVALUE(1&amp;D$1&amp;E$1),0,IF(C5&gt;0,IF(C5-SUM(I$255:AM$255)&lt;0,B5-SUM(I5:AM5,0),0),0))+IF(C5=-1,B5-SUM(J5:AM5))</f>
        <v>0</v>
      </c>
      <c r="G5" s="210">
        <f t="shared" ref="G5:G8" si="2">+IF(B5&lt;1,"-",D5/B5)</f>
        <v>1</v>
      </c>
      <c r="H5" s="14"/>
      <c r="I5" s="111">
        <f>IF(I$2=$E5,$D5,IF(I$2&gt;I$257,0,IF($C5=I$2,"PAGAR"&amp;" "&amp;TEXT($B5," #.##0,00"),IF($C5=-1,"PAGAR"&amp;" "&amp;TEXT($B5," #.##0,00"),0))))</f>
        <v>0</v>
      </c>
      <c r="J5" s="111">
        <f>+IF(J$2=$E5,$D5,IF(J$2&gt;J$257,0,IF($C5=J$2,"PAGAR"&amp;" "&amp;TEXT($B5," #.##0,00"),0)))</f>
        <v>6650</v>
      </c>
      <c r="K5" s="111">
        <f>+IF(K$2=$E5,$D5,IF(K$2&gt;K$257,0,IF($C5=K$2,"PAGAR"&amp;" "&amp;TEXT($B5," #.##0,00"),0)))</f>
        <v>0</v>
      </c>
      <c r="L5" s="111">
        <f>+IF(L$2=$E5,$D5,IF(L$2&gt;L$257,0,IF($C5=L$2,"PAGAR"&amp;" "&amp;TEXT($B5," #.##0,00"),0)))</f>
        <v>0</v>
      </c>
      <c r="M5" s="111">
        <f>+IF(M$2=$E5,$D5,IF(M$2&gt;M$257,0,IF($C5=M$2,"PAGAR"&amp;" "&amp;TEXT($B5," #.##0,00"),0)))</f>
        <v>0</v>
      </c>
      <c r="N5" s="111">
        <f>+IF(N$2=$E5,$D5,IF(N$2&gt;N$257,0,IF($C5=N$2,"PAGAR"&amp;" "&amp;TEXT($B5," #.##0,00"),0)))</f>
        <v>0</v>
      </c>
      <c r="O5" s="111">
        <f>+IF(O$2=$E5,$D5,IF(O$2&gt;O$257,0,IF($C5=O$2,"PAGAR"&amp;" "&amp;TEXT($B5," #.##0,00"),0)))</f>
        <v>0</v>
      </c>
      <c r="P5" s="111">
        <f>+IF(P$2=$E5,$D5,IF(P$2&gt;P$257,0,IF($C5=P$2,"PAGAR"&amp;" "&amp;TEXT($B5," #.##0,00"),0)))</f>
        <v>0</v>
      </c>
      <c r="Q5" s="111">
        <f>+IF(Q$2=$E5,$D5,IF(Q$2&gt;Q$257,0,IF($C5=Q$2,"PAGAR"&amp;" "&amp;TEXT($B5," #.##0,00"),0)))</f>
        <v>0</v>
      </c>
      <c r="R5" s="111">
        <f>+IF(R$2=$E5,$D5,IF(R$2&gt;R$257,0,IF($C5=R$2,"PAGAR"&amp;" "&amp;TEXT($B5," #.##0,00"),0)))</f>
        <v>0</v>
      </c>
      <c r="S5" s="111">
        <f>+IF(S$2=$E5,$D5,IF(S$2&gt;S$257,0,IF($C5=S$2,"PAGAR"&amp;" "&amp;TEXT($B5," #.##0,00"),0)))</f>
        <v>0</v>
      </c>
      <c r="T5" s="111">
        <f>+IF(T$2=$E5,$D5,IF(T$2&gt;T$257,0,IF($C5=T$2,"PAGAR"&amp;" "&amp;TEXT($B5," #.##0,00"),0)))</f>
        <v>0</v>
      </c>
      <c r="U5" s="111">
        <f>+IF(U$2=$E5,$D5,IF(U$2&gt;U$257,0,IF($C5=U$2,"PAGAR"&amp;" "&amp;TEXT($B5," #.##0,00"),0)))</f>
        <v>0</v>
      </c>
      <c r="V5" s="111">
        <f>+IF(V$2=$E5,$D5,IF(V$2&gt;V$257,0,IF($C5=V$2,"PAGAR"&amp;" "&amp;TEXT($B5," #.##0,00"),0)))</f>
        <v>0</v>
      </c>
      <c r="W5" s="111">
        <f>+IF(W$2=$E5,$D5,IF(W$2&gt;W$257,0,IF($C5=W$2,"PAGAR"&amp;" "&amp;TEXT($B5," #.##0,00"),0)))</f>
        <v>0</v>
      </c>
      <c r="X5" s="111">
        <f>+IF(X$2=$E5,$D5,IF(X$2&gt;X$257,0,IF($C5=X$2,"PAGAR"&amp;" "&amp;TEXT($B5," #.##0,00"),0)))</f>
        <v>0</v>
      </c>
      <c r="Y5" s="111">
        <f>+IF(Y$2=$E5,$D5,IF(Y$2&gt;Y$257,0,IF($C5=Y$2,"PAGAR"&amp;" "&amp;TEXT($B5," #.##0,00"),0)))</f>
        <v>0</v>
      </c>
      <c r="Z5" s="111">
        <f>+IF(Z$2=$E5,$D5,IF(Z$2&gt;Z$257,0,IF($C5=Z$2,"PAGAR"&amp;" "&amp;TEXT($B5," #.##0,00"),0)))</f>
        <v>0</v>
      </c>
      <c r="AA5" s="111">
        <f>+IF(AA$2=$E5,$D5,IF(AA$2&gt;AA$257,0,IF($C5=AA$2,"PAGAR"&amp;" "&amp;TEXT($B5," #.##0,00"),0)))</f>
        <v>0</v>
      </c>
      <c r="AB5" s="111">
        <f>+IF(AB$2=$E5,$D5,IF(AB$2&gt;AB$257,0,IF($C5=AB$2,"PAGAR"&amp;" "&amp;TEXT($B5," #.##0,00"),0)))</f>
        <v>0</v>
      </c>
      <c r="AC5" s="111">
        <f>+IF(AC$2=$E5,$D5,IF(AC$2&gt;AC$257,0,IF($C5=AC$2,"PAGAR"&amp;" "&amp;TEXT($B5," #.##0,00"),0)))</f>
        <v>0</v>
      </c>
      <c r="AD5" s="111">
        <f>+IF(AD$2=$E5,$D5,IF(AD$2&gt;AD$257,0,IF($C5=AD$2,"PAGAR"&amp;" "&amp;TEXT($B5," #.##0,00"),0)))</f>
        <v>0</v>
      </c>
      <c r="AE5" s="111">
        <f>+IF(AE$2=$E5,$D5,IF(AE$2&gt;AE$257,0,IF($C5=AE$2,"PAGAR"&amp;" "&amp;TEXT($B5," #.##0,00"),0)))</f>
        <v>0</v>
      </c>
      <c r="AF5" s="111">
        <f>+IF(AF$2=$E5,$D5,IF(AF$2&gt;AF$257,0,IF($C5=AF$2,"PAGAR"&amp;" "&amp;TEXT($B5," #.##0,00"),0)))</f>
        <v>0</v>
      </c>
      <c r="AG5" s="111">
        <f>+IF(AG$2=$E5,$D5,IF(AG$2&gt;AG$257,0,IF($C5=AG$2,"PAGAR"&amp;" "&amp;TEXT($B5," #.##0,00"),0)))</f>
        <v>0</v>
      </c>
      <c r="AH5" s="111">
        <f>+IF(AH$2=$E5,$D5,IF(AH$2&gt;AH$257,0,IF($C5=AH$2,"PAGAR"&amp;" "&amp;TEXT($B5," #.##0,00"),0)))</f>
        <v>0</v>
      </c>
      <c r="AI5" s="111">
        <f>+IF(AI$2=$E5,$D5,IF(AI$2&gt;AI$257,0,IF($C5=AI$2,"PAGAR"&amp;" "&amp;TEXT($B5," #.##0,00"),0)))</f>
        <v>0</v>
      </c>
      <c r="AJ5" s="111">
        <f>+IF(AJ$2=$E5,$D5,IF(AJ$2&gt;AJ$257,0,IF($C5=AJ$2,"PAGAR"&amp;" "&amp;TEXT($B5," #.##0,00"),0)))</f>
        <v>0</v>
      </c>
      <c r="AK5" s="111">
        <f>+IF(AK$2=$E5,$D5,IF(AK$2&gt;AK$257,0,IF($C5=AK$2,"PAGAR"&amp;" "&amp;TEXT($B5," #.##0,00"),0)))</f>
        <v>0</v>
      </c>
      <c r="AL5" s="111">
        <f>+IF(AL$2=$E5,$D5,IF(AL$2&gt;AL$257,0,IF($C5=AL$2,"PAGAR"&amp;" "&amp;TEXT($B5," #.##0,00"),0)))</f>
        <v>0</v>
      </c>
      <c r="AM5" s="111">
        <f>+IF(AM$2=$E5,$D5,IF(AM$2&gt;AM$257,0,IF($C5=AM$2,"PAGAR"&amp;" "&amp;TEXT($B5," #.##0,00"),0)))</f>
        <v>0</v>
      </c>
      <c r="AN5" s="111">
        <f ca="1">+IF(F5&lt;0,-F5,0)</f>
        <v>0</v>
      </c>
      <c r="AO5" s="287">
        <f>+IF(AND(C5=0,B5&gt;0),B5,0)</f>
        <v>0</v>
      </c>
      <c r="AQ5" s="232" t="str" cm="1">
        <f t="array" ref="AQ5:AQ6">_xlfn._xlws.FILTER($A$5:$A$152,$C$5:$C$152=AQ2,"livre")</f>
        <v>Condomínio Sta Rita</v>
      </c>
      <c r="AR5" s="230" cm="1">
        <f t="array" ref="AR5:AR6">_xlfn._xlws.FILTER($B$5:$B$152,$C$5:$C$152=AQ2,"livre")</f>
        <v>300</v>
      </c>
      <c r="AS5" s="234" t="str" cm="1">
        <f t="array" ref="AS5:AS7">_xlfn._xlws.FILTER($A$5:$A$152,$C$5:$C$152=AS2,"livre")</f>
        <v>Sulamerica</v>
      </c>
      <c r="AT5" s="225" cm="1">
        <f t="array" ref="AT5:AT7">_xlfn._xlws.FILTER($B$5:$B$152,$C$5:$C$152=AS2,"livre")</f>
        <v>6650</v>
      </c>
      <c r="AU5" s="234" t="str" cm="1">
        <f t="array" ref="AU5:AU8">_xlfn._xlws.FILTER($A$5:$A$152,$C$5:$C$152=AU2,"livre")</f>
        <v>Apple - Cartão</v>
      </c>
      <c r="AV5" s="225" cm="1">
        <f t="array" ref="AV5:AV8">_xlfn._xlws.FILTER($B$5:$B$152,$C$5:$C$152=AU2,"livre")</f>
        <v>5.9</v>
      </c>
      <c r="AW5" s="234" t="str" cm="1">
        <f t="array" ref="AW5">_xlfn._xlws.FILTER($A$5:$A$152,$C$5:$C$152=AW2,"livre")</f>
        <v>Google Adobe - Cartão</v>
      </c>
      <c r="AX5" s="225" cm="1">
        <f t="array" ref="AX5">_xlfn._xlws.FILTER($B$5:$B$152,$C$5:$C$152=AW2,"livre")</f>
        <v>22.99</v>
      </c>
      <c r="AY5" s="234" t="str" cm="1">
        <f t="array" ref="AY5:AY8">_xlfn._xlws.FILTER($A$5:$A$152,$C$5:$C$152=AY2,"livre")</f>
        <v>Apple.com - Cartão</v>
      </c>
      <c r="AZ5" s="226" cm="1">
        <f t="array" ref="AZ5:AZ8">_xlfn._xlws.FILTER($B$5:$B$152,$C$5:$C$152=AY2,"livre")</f>
        <v>5.9</v>
      </c>
      <c r="BA5" s="236" t="str" cm="1">
        <f t="array" ref="BA5:BA9">_xlfn._xlws.FILTER($A$5:$A$152,$C$5:$C$152=BA2,"livre")</f>
        <v>Francisca</v>
      </c>
      <c r="BB5" s="226" cm="1">
        <f t="array" ref="BB5:BB9">_xlfn._xlws.FILTER($B$5:$B$152,$C$5:$C$152=BA2,"livre")</f>
        <v>1080</v>
      </c>
      <c r="BC5" s="236" t="str" cm="1">
        <f t="array" ref="BC5:BC6">_xlfn._xlws.FILTER($A$5:$A$152,$C$5:$C$152=BC2,"livre")</f>
        <v>Sulamerica</v>
      </c>
      <c r="BD5" s="227" cm="1">
        <f t="array" ref="BD5:BD6">_xlfn._xlws.FILTER($B$5:$B$152,$C$5:$C$152=BC2,"livre")</f>
        <v>6359.51</v>
      </c>
    </row>
    <row r="6" spans="1:56" x14ac:dyDescent="0.25">
      <c r="A6" s="212" t="s">
        <v>135</v>
      </c>
      <c r="B6" s="90">
        <v>6359.51</v>
      </c>
      <c r="C6" s="91">
        <v>7</v>
      </c>
      <c r="D6" s="97"/>
      <c r="E6" s="166"/>
      <c r="F6" s="84">
        <f ca="1">+IF(TODAY()&lt;DATEVALUE(1&amp;D$1&amp;E$1),0,IF(C6&gt;0,IF(C6-SUM(I$255:AM$255)&lt;0,B6-SUM(I6:AM6,0),0),0))+IF(C6=-1,B6-SUM(J6:AM6))</f>
        <v>6359.51</v>
      </c>
      <c r="G6" s="210">
        <f t="shared" si="2"/>
        <v>0</v>
      </c>
      <c r="H6" s="14"/>
      <c r="I6" s="111">
        <f>IF(I$2=$E6,$D6,IF(I$2&gt;I$257,0,IF($C6=I$2,"PAGAR"&amp;" "&amp;TEXT($B6," #.##0,00"),IF($C6=-1,"PAGAR"&amp;" "&amp;TEXT($B6," #.##0,00"),0))))</f>
        <v>0</v>
      </c>
      <c r="J6" s="111">
        <f>+IF(J$2=$E6,$D6,IF(J$2&gt;J$257,0,IF($C6=J$2,"PAGAR"&amp;" "&amp;TEXT($B6," #.##0,00"),0)))</f>
        <v>0</v>
      </c>
      <c r="K6" s="111">
        <f>+IF(K$2=$E6,$D6,IF(K$2&gt;K$257,0,IF($C6=K$2,"PAGAR"&amp;" "&amp;TEXT($B6," #.##0,00"),0)))</f>
        <v>0</v>
      </c>
      <c r="L6" s="111">
        <f>+IF(L$2=$E6,$D6,IF(L$2&gt;L$257,0,IF($C6=L$2,"PAGAR"&amp;" "&amp;TEXT($B6," #.##0,00"),0)))</f>
        <v>0</v>
      </c>
      <c r="M6" s="111">
        <f>+IF(M$2=$E6,$D6,IF(M$2&gt;M$257,0,IF($C6=M$2,"PAGAR"&amp;" "&amp;TEXT($B6," #.##0,00"),0)))</f>
        <v>0</v>
      </c>
      <c r="N6" s="111">
        <f>+IF(N$2=$E6,$D6,IF(N$2&gt;N$257,0,IF($C6=N$2,"PAGAR"&amp;" "&amp;TEXT($B6," #.##0,00"),0)))</f>
        <v>0</v>
      </c>
      <c r="O6" s="111" t="str">
        <f>+IF(O$2=$E6,$D6,IF(O$2&gt;O$257,0,IF($C6=O$2,"PAGAR"&amp;" "&amp;TEXT($B6," #.##0,00"),0)))</f>
        <v>PAGAR  6.359,51</v>
      </c>
      <c r="P6" s="111">
        <f>+IF(P$2=$E6,$D6,IF(P$2&gt;P$257,0,IF($C6=P$2,"PAGAR"&amp;" "&amp;TEXT($B6," #.##0,00"),0)))</f>
        <v>0</v>
      </c>
      <c r="Q6" s="111">
        <f>+IF(Q$2=$E6,$D6,IF(Q$2&gt;Q$257,0,IF($C6=Q$2,"PAGAR"&amp;" "&amp;TEXT($B6," #.##0,00"),0)))</f>
        <v>0</v>
      </c>
      <c r="R6" s="111">
        <f>+IF(R$2=$E6,$D6,IF(R$2&gt;R$257,0,IF($C6=R$2,"PAGAR"&amp;" "&amp;TEXT($B6," #.##0,00"),0)))</f>
        <v>0</v>
      </c>
      <c r="S6" s="111">
        <f>+IF(S$2=$E6,$D6,IF(S$2&gt;S$257,0,IF($C6=S$2,"PAGAR"&amp;" "&amp;TEXT($B6," #.##0,00"),0)))</f>
        <v>0</v>
      </c>
      <c r="T6" s="111">
        <f>+IF(T$2=$E6,$D6,IF(T$2&gt;T$257,0,IF($C6=T$2,"PAGAR"&amp;" "&amp;TEXT($B6," #.##0,00"),0)))</f>
        <v>0</v>
      </c>
      <c r="U6" s="111">
        <f>+IF(U$2=$E6,$D6,IF(U$2&gt;U$257,0,IF($C6=U$2,"PAGAR"&amp;" "&amp;TEXT($B6," #.##0,00"),0)))</f>
        <v>0</v>
      </c>
      <c r="V6" s="111">
        <f>+IF(V$2=$E6,$D6,IF(V$2&gt;V$257,0,IF($C6=V$2,"PAGAR"&amp;" "&amp;TEXT($B6," #.##0,00"),0)))</f>
        <v>0</v>
      </c>
      <c r="W6" s="111">
        <f>+IF(W$2=$E6,$D6,IF(W$2&gt;W$257,0,IF($C6=W$2,"PAGAR"&amp;" "&amp;TEXT($B6," #.##0,00"),0)))</f>
        <v>0</v>
      </c>
      <c r="X6" s="111">
        <f>+IF(X$2=$E6,$D6,IF(X$2&gt;X$257,0,IF($C6=X$2,"PAGAR"&amp;" "&amp;TEXT($B6," #.##0,00"),0)))</f>
        <v>0</v>
      </c>
      <c r="Y6" s="111">
        <f>+IF(Y$2=$E6,$D6,IF(Y$2&gt;Y$257,0,IF($C6=Y$2,"PAGAR"&amp;" "&amp;TEXT($B6," #.##0,00"),0)))</f>
        <v>0</v>
      </c>
      <c r="Z6" s="111">
        <f>+IF(Z$2=$E6,$D6,IF(Z$2&gt;Z$257,0,IF($C6=Z$2,"PAGAR"&amp;" "&amp;TEXT($B6," #.##0,00"),0)))</f>
        <v>0</v>
      </c>
      <c r="AA6" s="111">
        <f>+IF(AA$2=$E6,$D6,IF(AA$2&gt;AA$257,0,IF($C6=AA$2,"PAGAR"&amp;" "&amp;TEXT($B6," #.##0,00"),0)))</f>
        <v>0</v>
      </c>
      <c r="AB6" s="111">
        <f>+IF(AB$2=$E6,$D6,IF(AB$2&gt;AB$257,0,IF($C6=AB$2,"PAGAR"&amp;" "&amp;TEXT($B6," #.##0,00"),0)))</f>
        <v>0</v>
      </c>
      <c r="AC6" s="111">
        <f>+IF(AC$2=$E6,$D6,IF(AC$2&gt;AC$257,0,IF($C6=AC$2,"PAGAR"&amp;" "&amp;TEXT($B6," #.##0,00"),0)))</f>
        <v>0</v>
      </c>
      <c r="AD6" s="111">
        <f>+IF(AD$2=$E6,$D6,IF(AD$2&gt;AD$257,0,IF($C6=AD$2,"PAGAR"&amp;" "&amp;TEXT($B6," #.##0,00"),0)))</f>
        <v>0</v>
      </c>
      <c r="AE6" s="111">
        <f>+IF(AE$2=$E6,$D6,IF(AE$2&gt;AE$257,0,IF($C6=AE$2,"PAGAR"&amp;" "&amp;TEXT($B6," #.##0,00"),0)))</f>
        <v>0</v>
      </c>
      <c r="AF6" s="111">
        <f>+IF(AF$2=$E6,$D6,IF(AF$2&gt;AF$257,0,IF($C6=AF$2,"PAGAR"&amp;" "&amp;TEXT($B6," #.##0,00"),0)))</f>
        <v>0</v>
      </c>
      <c r="AG6" s="111">
        <f>+IF(AG$2=$E6,$D6,IF(AG$2&gt;AG$257,0,IF($C6=AG$2,"PAGAR"&amp;" "&amp;TEXT($B6," #.##0,00"),0)))</f>
        <v>0</v>
      </c>
      <c r="AH6" s="111">
        <f>+IF(AH$2=$E6,$D6,IF(AH$2&gt;AH$257,0,IF($C6=AH$2,"PAGAR"&amp;" "&amp;TEXT($B6," #.##0,00"),0)))</f>
        <v>0</v>
      </c>
      <c r="AI6" s="111">
        <f>+IF(AI$2=$E6,$D6,IF(AI$2&gt;AI$257,0,IF($C6=AI$2,"PAGAR"&amp;" "&amp;TEXT($B6," #.##0,00"),0)))</f>
        <v>0</v>
      </c>
      <c r="AJ6" s="111">
        <f>+IF(AJ$2=$E6,$D6,IF(AJ$2&gt;AJ$257,0,IF($C6=AJ$2,"PAGAR"&amp;" "&amp;TEXT($B6," #.##0,00"),0)))</f>
        <v>0</v>
      </c>
      <c r="AK6" s="111">
        <f>+IF(AK$2=$E6,$D6,IF(AK$2&gt;AK$257,0,IF($C6=AK$2,"PAGAR"&amp;" "&amp;TEXT($B6," #.##0,00"),0)))</f>
        <v>0</v>
      </c>
      <c r="AL6" s="111">
        <f>+IF(AL$2=$E6,$D6,IF(AL$2&gt;AL$257,0,IF($C6=AL$2,"PAGAR"&amp;" "&amp;TEXT($B6," #.##0,00"),0)))</f>
        <v>0</v>
      </c>
      <c r="AM6" s="111">
        <f>+IF(AM$2=$E6,$D6,IF(AM$2&gt;AM$257,0,IF($C6=AM$2,"PAGAR"&amp;" "&amp;TEXT($B6," #.##0,00"),0)))</f>
        <v>0</v>
      </c>
      <c r="AN6" s="111">
        <f t="shared" ref="AN6:AN25" ca="1" si="3">+IF(F6&lt;0,-F6,0)</f>
        <v>0</v>
      </c>
      <c r="AO6" s="287">
        <f t="shared" ref="AO6:AO25" si="4">+IF(AND(C6=0,B6&gt;0),B6,0)</f>
        <v>0</v>
      </c>
      <c r="AQ6" s="250" t="str">
        <v>Letízio mensal</v>
      </c>
      <c r="AR6" s="251">
        <v>1750</v>
      </c>
      <c r="AS6" s="245" t="str">
        <v>Clayton manutenção</v>
      </c>
      <c r="AT6" s="246">
        <v>1000</v>
      </c>
      <c r="AU6" s="245" t="str">
        <v>Microsoft Office - Cartão</v>
      </c>
      <c r="AV6" s="252">
        <v>60</v>
      </c>
      <c r="AW6" s="245"/>
      <c r="AX6" s="246"/>
      <c r="AY6" s="245" t="str">
        <v>Claro Reserva</v>
      </c>
      <c r="AZ6" s="247">
        <v>288.06</v>
      </c>
      <c r="BA6" s="248" t="str">
        <v>CPFL Ágata</v>
      </c>
      <c r="BB6" s="247">
        <v>173.49</v>
      </c>
      <c r="BC6" s="248" t="str">
        <v>Netflix - cartão</v>
      </c>
      <c r="BD6" s="249">
        <v>44.9</v>
      </c>
    </row>
    <row r="7" spans="1:56" x14ac:dyDescent="0.25">
      <c r="A7" s="221" t="s">
        <v>146</v>
      </c>
      <c r="B7" s="283">
        <v>770.07</v>
      </c>
      <c r="C7" s="222">
        <v>0</v>
      </c>
      <c r="D7" s="97">
        <v>770.07</v>
      </c>
      <c r="E7" s="166">
        <v>12</v>
      </c>
      <c r="F7" s="84">
        <f ca="1">+IF(TODAY()&lt;DATEVALUE(1&amp;D$1&amp;E$1),0,IF(C7&gt;0,IF(C7-SUM(I$255:AM$255)&lt;0,B7-SUM(I7:AM7,0),0),0))+IF(C7=-1,B7-SUM(J7:AM7))</f>
        <v>0</v>
      </c>
      <c r="G7" s="210">
        <f t="shared" si="2"/>
        <v>1</v>
      </c>
      <c r="H7" s="14"/>
      <c r="I7" s="111">
        <f>IF(I$2=$E7,$D7,IF(I$2&gt;I$257,0,IF($C7=I$2,"PAGAR"&amp;" "&amp;TEXT($B7," #.##0,00"),IF($C7=-1,"PAGAR"&amp;" "&amp;TEXT($B7," #.##0,00"),0))))</f>
        <v>0</v>
      </c>
      <c r="J7" s="111">
        <f>+IF(J$2=$E7,$D7,IF(J$2&gt;J$257,0,IF($C7=J$2,"PAGAR"&amp;" "&amp;TEXT($B7," #.##0,00"),0)))</f>
        <v>0</v>
      </c>
      <c r="K7" s="111">
        <f>+IF(K$2=$E7,$D7,IF(K$2&gt;K$257,0,IF($C7=K$2,"PAGAR"&amp;" "&amp;TEXT($B7," #.##0,00"),0)))</f>
        <v>0</v>
      </c>
      <c r="L7" s="111">
        <f>+IF(L$2=$E7,$D7,IF(L$2&gt;L$257,0,IF($C7=L$2,"PAGAR"&amp;" "&amp;TEXT($B7," #.##0,00"),0)))</f>
        <v>0</v>
      </c>
      <c r="M7" s="111">
        <f>+IF(M$2=$E7,$D7,IF(M$2&gt;M$257,0,IF($C7=M$2,"PAGAR"&amp;" "&amp;TEXT($B7," #.##0,00"),0)))</f>
        <v>0</v>
      </c>
      <c r="N7" s="111">
        <f>+IF(N$2=$E7,$D7,IF(N$2&gt;N$257,0,IF($C7=N$2,"PAGAR"&amp;" "&amp;TEXT($B7," #.##0,00"),0)))</f>
        <v>0</v>
      </c>
      <c r="O7" s="111">
        <f>+IF(O$2=$E7,$D7,IF(O$2&gt;O$257,0,IF($C7=O$2,"PAGAR"&amp;" "&amp;TEXT($B7," #.##0,00"),0)))</f>
        <v>0</v>
      </c>
      <c r="P7" s="111">
        <f>+IF(P$2=$E7,$D7,IF(P$2&gt;P$257,0,IF($C7=P$2,"PAGAR"&amp;" "&amp;TEXT($B7," #.##0,00"),0)))</f>
        <v>0</v>
      </c>
      <c r="Q7" s="111">
        <f>+IF(Q$2=$E7,$D7,IF(Q$2&gt;Q$257,0,IF($C7=Q$2,"PAGAR"&amp;" "&amp;TEXT($B7," #.##0,00"),0)))</f>
        <v>0</v>
      </c>
      <c r="R7" s="111">
        <f>+IF(R$2=$E7,$D7,IF(R$2&gt;R$257,0,IF($C7=R$2,"PAGAR"&amp;" "&amp;TEXT($B7," #.##0,00"),0)))</f>
        <v>0</v>
      </c>
      <c r="S7" s="111">
        <f>+IF(S$2=$E7,$D7,IF(S$2&gt;S$257,0,IF($C7=S$2,"PAGAR"&amp;" "&amp;TEXT($B7," #.##0,00"),0)))</f>
        <v>0</v>
      </c>
      <c r="T7" s="111">
        <f>+IF(T$2=$E7,$D7,IF(T$2&gt;T$257,0,IF($C7=T$2,"PAGAR"&amp;" "&amp;TEXT($B7," #.##0,00"),0)))</f>
        <v>770.07</v>
      </c>
      <c r="U7" s="111">
        <f>+IF(U$2=$E7,$D7,IF(U$2&gt;U$257,0,IF($C7=U$2,"PAGAR"&amp;" "&amp;TEXT($B7," #.##0,00"),0)))</f>
        <v>0</v>
      </c>
      <c r="V7" s="111">
        <f>+IF(V$2=$E7,$D7,IF(V$2&gt;V$257,0,IF($C7=V$2,"PAGAR"&amp;" "&amp;TEXT($B7," #.##0,00"),0)))</f>
        <v>0</v>
      </c>
      <c r="W7" s="111">
        <f>+IF(W$2=$E7,$D7,IF(W$2&gt;W$257,0,IF($C7=W$2,"PAGAR"&amp;" "&amp;TEXT($B7," #.##0,00"),0)))</f>
        <v>0</v>
      </c>
      <c r="X7" s="111">
        <f>+IF(X$2=$E7,$D7,IF(X$2&gt;X$257,0,IF($C7=X$2,"PAGAR"&amp;" "&amp;TEXT($B7," #.##0,00"),0)))</f>
        <v>0</v>
      </c>
      <c r="Y7" s="111">
        <f>+IF(Y$2=$E7,$D7,IF(Y$2&gt;Y$257,0,IF($C7=Y$2,"PAGAR"&amp;" "&amp;TEXT($B7," #.##0,00"),0)))</f>
        <v>0</v>
      </c>
      <c r="Z7" s="111">
        <f>+IF(Z$2=$E7,$D7,IF(Z$2&gt;Z$257,0,IF($C7=Z$2,"PAGAR"&amp;" "&amp;TEXT($B7," #.##0,00"),0)))</f>
        <v>0</v>
      </c>
      <c r="AA7" s="111">
        <f>+IF(AA$2=$E7,$D7,IF(AA$2&gt;AA$257,0,IF($C7=AA$2,"PAGAR"&amp;" "&amp;TEXT($B7," #.##0,00"),0)))</f>
        <v>0</v>
      </c>
      <c r="AB7" s="111">
        <f>+IF(AB$2=$E7,$D7,IF(AB$2&gt;AB$257,0,IF($C7=AB$2,"PAGAR"&amp;" "&amp;TEXT($B7," #.##0,00"),0)))</f>
        <v>0</v>
      </c>
      <c r="AC7" s="111">
        <f>+IF(AC$2=$E7,$D7,IF(AC$2&gt;AC$257,0,IF($C7=AC$2,"PAGAR"&amp;" "&amp;TEXT($B7," #.##0,00"),0)))</f>
        <v>0</v>
      </c>
      <c r="AD7" s="111">
        <f>+IF(AD$2=$E7,$D7,IF(AD$2&gt;AD$257,0,IF($C7=AD$2,"PAGAR"&amp;" "&amp;TEXT($B7," #.##0,00"),0)))</f>
        <v>0</v>
      </c>
      <c r="AE7" s="111">
        <f>+IF(AE$2=$E7,$D7,IF(AE$2&gt;AE$257,0,IF($C7=AE$2,"PAGAR"&amp;" "&amp;TEXT($B7," #.##0,00"),0)))</f>
        <v>0</v>
      </c>
      <c r="AF7" s="111">
        <f>+IF(AF$2=$E7,$D7,IF(AF$2&gt;AF$257,0,IF($C7=AF$2,"PAGAR"&amp;" "&amp;TEXT($B7," #.##0,00"),0)))</f>
        <v>0</v>
      </c>
      <c r="AG7" s="111">
        <f>+IF(AG$2=$E7,$D7,IF(AG$2&gt;AG$257,0,IF($C7=AG$2,"PAGAR"&amp;" "&amp;TEXT($B7," #.##0,00"),0)))</f>
        <v>0</v>
      </c>
      <c r="AH7" s="111">
        <f>+IF(AH$2=$E7,$D7,IF(AH$2&gt;AH$257,0,IF($C7=AH$2,"PAGAR"&amp;" "&amp;TEXT($B7," #.##0,00"),0)))</f>
        <v>0</v>
      </c>
      <c r="AI7" s="111">
        <f>+IF(AI$2=$E7,$D7,IF(AI$2&gt;AI$257,0,IF($C7=AI$2,"PAGAR"&amp;" "&amp;TEXT($B7," #.##0,00"),0)))</f>
        <v>0</v>
      </c>
      <c r="AJ7" s="111">
        <f>+IF(AJ$2=$E7,$D7,IF(AJ$2&gt;AJ$257,0,IF($C7=AJ$2,"PAGAR"&amp;" "&amp;TEXT($B7," #.##0,00"),0)))</f>
        <v>0</v>
      </c>
      <c r="AK7" s="111">
        <f>+IF(AK$2=$E7,$D7,IF(AK$2&gt;AK$257,0,IF($C7=AK$2,"PAGAR"&amp;" "&amp;TEXT($B7," #.##0,00"),0)))</f>
        <v>0</v>
      </c>
      <c r="AL7" s="111">
        <f>+IF(AL$2=$E7,$D7,IF(AL$2&gt;AL$257,0,IF($C7=AL$2,"PAGAR"&amp;" "&amp;TEXT($B7," #.##0,00"),0)))</f>
        <v>0</v>
      </c>
      <c r="AM7" s="111">
        <f>+IF(AM$2=$E7,$D7,IF(AM$2&gt;AM$257,0,IF($C7=AM$2,"PAGAR"&amp;" "&amp;TEXT($B7," #.##0,00"),0)))</f>
        <v>0</v>
      </c>
      <c r="AN7" s="111">
        <f t="shared" ca="1" si="3"/>
        <v>0</v>
      </c>
      <c r="AO7" s="287">
        <f t="shared" si="4"/>
        <v>770.07</v>
      </c>
      <c r="AQ7" s="232"/>
      <c r="AR7" s="230"/>
      <c r="AS7" s="234" t="str">
        <v>VT</v>
      </c>
      <c r="AT7" s="225">
        <v>500</v>
      </c>
      <c r="AU7" s="234" t="str">
        <v>VA 5 anos</v>
      </c>
      <c r="AV7" s="225">
        <v>1890</v>
      </c>
      <c r="AW7" s="234"/>
      <c r="AX7" s="225"/>
      <c r="AY7" s="234" t="str">
        <v>Itaú - pron. débito auto (6/24x) 1,6% 150k</v>
      </c>
      <c r="AZ7" s="226">
        <v>5188</v>
      </c>
      <c r="BA7" s="236" t="str">
        <v>AGDES Reserva</v>
      </c>
      <c r="BB7" s="226">
        <v>291.10000000000002</v>
      </c>
      <c r="BC7" s="236"/>
      <c r="BD7" s="227"/>
    </row>
    <row r="8" spans="1:56" x14ac:dyDescent="0.25">
      <c r="A8" s="212" t="s">
        <v>147</v>
      </c>
      <c r="B8" s="90">
        <v>770.07</v>
      </c>
      <c r="C8" s="91">
        <v>25</v>
      </c>
      <c r="D8" s="97">
        <v>770.07</v>
      </c>
      <c r="E8" s="166">
        <v>10</v>
      </c>
      <c r="F8" s="84">
        <f ca="1">+IF(TODAY()&lt;DATEVALUE(1&amp;D$1&amp;E$1),0,IF(C8&gt;0,IF(C8-SUM(I$255:AM$255)&lt;0,B8-SUM(I8:AM8,0),0),0))+IF(C8=-1,B8-SUM(J8:AM8))</f>
        <v>0</v>
      </c>
      <c r="G8" s="210">
        <f t="shared" si="2"/>
        <v>1</v>
      </c>
      <c r="H8" s="14"/>
      <c r="I8" s="111">
        <f>IF(I$2=$E8,$D8,IF(I$2&gt;I$257,0,IF($C8=I$2,"PAGAR"&amp;" "&amp;TEXT($B8," #.##0,00"),IF($C8=-1,"PAGAR"&amp;" "&amp;TEXT($B8," #.##0,00"),0))))</f>
        <v>0</v>
      </c>
      <c r="J8" s="111">
        <f>+IF(J$2=$E8,$D8,IF(J$2&gt;J$257,0,IF($C8=J$2,"PAGAR"&amp;" "&amp;TEXT($B8," #.##0,00"),0)))</f>
        <v>0</v>
      </c>
      <c r="K8" s="111">
        <f>+IF(K$2=$E8,$D8,IF(K$2&gt;K$257,0,IF($C8=K$2,"PAGAR"&amp;" "&amp;TEXT($B8," #.##0,00"),0)))</f>
        <v>0</v>
      </c>
      <c r="L8" s="111">
        <f>+IF(L$2=$E8,$D8,IF(L$2&gt;L$257,0,IF($C8=L$2,"PAGAR"&amp;" "&amp;TEXT($B8," #.##0,00"),0)))</f>
        <v>0</v>
      </c>
      <c r="M8" s="111">
        <f>+IF(M$2=$E8,$D8,IF(M$2&gt;M$257,0,IF($C8=M$2,"PAGAR"&amp;" "&amp;TEXT($B8," #.##0,00"),0)))</f>
        <v>0</v>
      </c>
      <c r="N8" s="111">
        <f>+IF(N$2=$E8,$D8,IF(N$2&gt;N$257,0,IF($C8=N$2,"PAGAR"&amp;" "&amp;TEXT($B8," #.##0,00"),0)))</f>
        <v>0</v>
      </c>
      <c r="O8" s="111">
        <f>+IF(O$2=$E8,$D8,IF(O$2&gt;O$257,0,IF($C8=O$2,"PAGAR"&amp;" "&amp;TEXT($B8," #.##0,00"),0)))</f>
        <v>0</v>
      </c>
      <c r="P8" s="111">
        <f>+IF(P$2=$E8,$D8,IF(P$2&gt;P$257,0,IF($C8=P$2,"PAGAR"&amp;" "&amp;TEXT($B8," #.##0,00"),0)))</f>
        <v>0</v>
      </c>
      <c r="Q8" s="111">
        <f>+IF(Q$2=$E8,$D8,IF(Q$2&gt;Q$257,0,IF($C8=Q$2,"PAGAR"&amp;" "&amp;TEXT($B8," #.##0,00"),0)))</f>
        <v>0</v>
      </c>
      <c r="R8" s="111">
        <f>+IF(R$2=$E8,$D8,IF(R$2&gt;R$257,0,IF($C8=R$2,"PAGAR"&amp;" "&amp;TEXT($B8," #.##0,00"),0)))</f>
        <v>770.07</v>
      </c>
      <c r="S8" s="111">
        <f>+IF(S$2=$E8,$D8,IF(S$2&gt;S$257,0,IF($C8=S$2,"PAGAR"&amp;" "&amp;TEXT($B8," #.##0,00"),0)))</f>
        <v>0</v>
      </c>
      <c r="T8" s="111">
        <f>+IF(T$2=$E8,$D8,IF(T$2&gt;T$257,0,IF($C8=T$2,"PAGAR"&amp;" "&amp;TEXT($B8," #.##0,00"),0)))</f>
        <v>0</v>
      </c>
      <c r="U8" s="111">
        <f>+IF(U$2=$E8,$D8,IF(U$2&gt;U$257,0,IF($C8=U$2,"PAGAR"&amp;" "&amp;TEXT($B8," #.##0,00"),0)))</f>
        <v>0</v>
      </c>
      <c r="V8" s="111">
        <f>+IF(V$2=$E8,$D8,IF(V$2&gt;V$257,0,IF($C8=V$2,"PAGAR"&amp;" "&amp;TEXT($B8," #.##0,00"),0)))</f>
        <v>0</v>
      </c>
      <c r="W8" s="111">
        <f>+IF(W$2=$E8,$D8,IF(W$2&gt;W$257,0,IF($C8=W$2,"PAGAR"&amp;" "&amp;TEXT($B8," #.##0,00"),0)))</f>
        <v>0</v>
      </c>
      <c r="X8" s="111">
        <f>+IF(X$2=$E8,$D8,IF(X$2&gt;X$257,0,IF($C8=X$2,"PAGAR"&amp;" "&amp;TEXT($B8," #.##0,00"),0)))</f>
        <v>0</v>
      </c>
      <c r="Y8" s="111">
        <f>+IF(Y$2=$E8,$D8,IF(Y$2&gt;Y$257,0,IF($C8=Y$2,"PAGAR"&amp;" "&amp;TEXT($B8," #.##0,00"),0)))</f>
        <v>0</v>
      </c>
      <c r="Z8" s="111">
        <f>+IF(Z$2=$E8,$D8,IF(Z$2&gt;Z$257,0,IF($C8=Z$2,"PAGAR"&amp;" "&amp;TEXT($B8," #.##0,00"),0)))</f>
        <v>0</v>
      </c>
      <c r="AA8" s="111">
        <f>+IF(AA$2=$E8,$D8,IF(AA$2&gt;AA$257,0,IF($C8=AA$2,"PAGAR"&amp;" "&amp;TEXT($B8," #.##0,00"),0)))</f>
        <v>0</v>
      </c>
      <c r="AB8" s="111">
        <f>+IF(AB$2=$E8,$D8,IF(AB$2&gt;AB$257,0,IF($C8=AB$2,"PAGAR"&amp;" "&amp;TEXT($B8," #.##0,00"),0)))</f>
        <v>0</v>
      </c>
      <c r="AC8" s="111">
        <f>+IF(AC$2=$E8,$D8,IF(AC$2&gt;AC$257,0,IF($C8=AC$2,"PAGAR"&amp;" "&amp;TEXT($B8," #.##0,00"),0)))</f>
        <v>0</v>
      </c>
      <c r="AD8" s="111">
        <f>+IF(AD$2=$E8,$D8,IF(AD$2&gt;AD$257,0,IF($C8=AD$2,"PAGAR"&amp;" "&amp;TEXT($B8," #.##0,00"),0)))</f>
        <v>0</v>
      </c>
      <c r="AE8" s="111">
        <f>+IF(AE$2=$E8,$D8,IF(AE$2&gt;AE$257,0,IF($C8=AE$2,"PAGAR"&amp;" "&amp;TEXT($B8," #.##0,00"),0)))</f>
        <v>0</v>
      </c>
      <c r="AF8" s="111">
        <f>+IF(AF$2=$E8,$D8,IF(AF$2&gt;AF$257,0,IF($C8=AF$2,"PAGAR"&amp;" "&amp;TEXT($B8," #.##0,00"),0)))</f>
        <v>0</v>
      </c>
      <c r="AG8" s="111" t="str">
        <f>+IF(AG$2=$E8,$D8,IF(AG$2&gt;AG$257,0,IF($C8=AG$2,"PAGAR"&amp;" "&amp;TEXT($B8," #.##0,00"),0)))</f>
        <v>PAGAR  770,07</v>
      </c>
      <c r="AH8" s="111">
        <f>+IF(AH$2=$E8,$D8,IF(AH$2&gt;AH$257,0,IF($C8=AH$2,"PAGAR"&amp;" "&amp;TEXT($B8," #.##0,00"),0)))</f>
        <v>0</v>
      </c>
      <c r="AI8" s="111">
        <f>+IF(AI$2=$E8,$D8,IF(AI$2&gt;AI$257,0,IF($C8=AI$2,"PAGAR"&amp;" "&amp;TEXT($B8," #.##0,00"),0)))</f>
        <v>0</v>
      </c>
      <c r="AJ8" s="111">
        <f>+IF(AJ$2=$E8,$D8,IF(AJ$2&gt;AJ$257,0,IF($C8=AJ$2,"PAGAR"&amp;" "&amp;TEXT($B8," #.##0,00"),0)))</f>
        <v>0</v>
      </c>
      <c r="AK8" s="111">
        <f>+IF(AK$2=$E8,$D8,IF(AK$2&gt;AK$257,0,IF($C8=AK$2,"PAGAR"&amp;" "&amp;TEXT($B8," #.##0,00"),0)))</f>
        <v>0</v>
      </c>
      <c r="AL8" s="111">
        <f>+IF(AL$2=$E8,$D8,IF(AL$2&gt;AL$257,0,IF($C8=AL$2,"PAGAR"&amp;" "&amp;TEXT($B8," #.##0,00"),0)))</f>
        <v>0</v>
      </c>
      <c r="AM8" s="111">
        <f>+IF(AM$2=$E8,$D8,IF(AM$2&gt;AM$257,0,IF($C8=AM$2,"PAGAR"&amp;" "&amp;TEXT($B8," #.##0,00"),0)))</f>
        <v>0</v>
      </c>
      <c r="AN8" s="111">
        <f t="shared" ca="1" si="3"/>
        <v>0</v>
      </c>
      <c r="AO8" s="287">
        <f t="shared" si="4"/>
        <v>0</v>
      </c>
      <c r="AQ8" s="250"/>
      <c r="AR8" s="251"/>
      <c r="AS8" s="245"/>
      <c r="AT8" s="246"/>
      <c r="AU8" s="245" t="str">
        <v>Lucas VA 5 anos e normal</v>
      </c>
      <c r="AV8" s="252">
        <v>420</v>
      </c>
      <c r="AW8" s="245"/>
      <c r="AX8" s="246"/>
      <c r="AY8" s="245" t="str">
        <v>Frees + R$400 Josiane</v>
      </c>
      <c r="AZ8" s="247">
        <v>6900</v>
      </c>
      <c r="BA8" s="248" t="str">
        <v>4 Lock -- folha</v>
      </c>
      <c r="BB8" s="247">
        <v>12000</v>
      </c>
      <c r="BC8" s="248"/>
      <c r="BD8" s="249"/>
    </row>
    <row r="9" spans="1:56" x14ac:dyDescent="0.25">
      <c r="A9" s="212" t="s">
        <v>148</v>
      </c>
      <c r="B9" s="90">
        <v>675.52</v>
      </c>
      <c r="C9" s="91">
        <v>25</v>
      </c>
      <c r="D9" s="97"/>
      <c r="E9" s="166"/>
      <c r="F9" s="84">
        <f ca="1">+IF(TODAY()&lt;DATEVALUE(1&amp;D$1&amp;E$1),0,IF(C9&gt;0,IF(C9-SUM(I$255:AM$255)&lt;0,B9-SUM(I9:AM9,0),0),0))+IF(C9=-1,B9-SUM(J9:AM9))</f>
        <v>0</v>
      </c>
      <c r="G9" s="210">
        <f t="shared" ref="G9:G26" si="5">+IF(B9=0,"-",D9/B9)</f>
        <v>0</v>
      </c>
      <c r="H9" s="14"/>
      <c r="I9" s="111">
        <f>IF(I$2=$E9,$D9,IF(I$2&gt;I$257,0,IF($C9=I$2,"PAGAR"&amp;" "&amp;TEXT($B9," #.##0,00"),IF($C9=-1,"PAGAR"&amp;" "&amp;TEXT($B9," #.##0,00"),0))))</f>
        <v>0</v>
      </c>
      <c r="J9" s="111">
        <f>+IF(J$2=$E9,$D9,IF(J$2&gt;J$257,0,IF($C9=J$2,"PAGAR"&amp;" "&amp;TEXT($B9," #.##0,00"),0)))</f>
        <v>0</v>
      </c>
      <c r="K9" s="111">
        <f>+IF(K$2=$E9,$D9,IF(K$2&gt;K$257,0,IF($C9=K$2,"PAGAR"&amp;" "&amp;TEXT($B9," #.##0,00"),0)))</f>
        <v>0</v>
      </c>
      <c r="L9" s="111">
        <f>+IF(L$2=$E9,$D9,IF(L$2&gt;L$257,0,IF($C9=L$2,"PAGAR"&amp;" "&amp;TEXT($B9," #.##0,00"),0)))</f>
        <v>0</v>
      </c>
      <c r="M9" s="111">
        <f>+IF(M$2=$E9,$D9,IF(M$2&gt;M$257,0,IF($C9=M$2,"PAGAR"&amp;" "&amp;TEXT($B9," #.##0,00"),0)))</f>
        <v>0</v>
      </c>
      <c r="N9" s="111">
        <f>+IF(N$2=$E9,$D9,IF(N$2&gt;N$257,0,IF($C9=N$2,"PAGAR"&amp;" "&amp;TEXT($B9," #.##0,00"),0)))</f>
        <v>0</v>
      </c>
      <c r="O9" s="111">
        <f>+IF(O$2=$E9,$D9,IF(O$2&gt;O$257,0,IF($C9=O$2,"PAGAR"&amp;" "&amp;TEXT($B9," #.##0,00"),0)))</f>
        <v>0</v>
      </c>
      <c r="P9" s="111">
        <f>+IF(P$2=$E9,$D9,IF(P$2&gt;P$257,0,IF($C9=P$2,"PAGAR"&amp;" "&amp;TEXT($B9," #.##0,00"),0)))</f>
        <v>0</v>
      </c>
      <c r="Q9" s="111">
        <f>+IF(Q$2=$E9,$D9,IF(Q$2&gt;Q$257,0,IF($C9=Q$2,"PAGAR"&amp;" "&amp;TEXT($B9," #.##0,00"),0)))</f>
        <v>0</v>
      </c>
      <c r="R9" s="111">
        <f>+IF(R$2=$E9,$D9,IF(R$2&gt;R$257,0,IF($C9=R$2,"PAGAR"&amp;" "&amp;TEXT($B9," #.##0,00"),0)))</f>
        <v>0</v>
      </c>
      <c r="S9" s="111">
        <f>+IF(S$2=$E9,$D9,IF(S$2&gt;S$257,0,IF($C9=S$2,"PAGAR"&amp;" "&amp;TEXT($B9," #.##0,00"),0)))</f>
        <v>0</v>
      </c>
      <c r="T9" s="111">
        <f>+IF(T$2=$E9,$D9,IF(T$2&gt;T$257,0,IF($C9=T$2,"PAGAR"&amp;" "&amp;TEXT($B9," #.##0,00"),0)))</f>
        <v>0</v>
      </c>
      <c r="U9" s="111">
        <f>+IF(U$2=$E9,$D9,IF(U$2&gt;U$257,0,IF($C9=U$2,"PAGAR"&amp;" "&amp;TEXT($B9," #.##0,00"),0)))</f>
        <v>0</v>
      </c>
      <c r="V9" s="111">
        <f>+IF(V$2=$E9,$D9,IF(V$2&gt;V$257,0,IF($C9=V$2,"PAGAR"&amp;" "&amp;TEXT($B9," #.##0,00"),0)))</f>
        <v>0</v>
      </c>
      <c r="W9" s="111">
        <f>+IF(W$2=$E9,$D9,IF(W$2&gt;W$257,0,IF($C9=W$2,"PAGAR"&amp;" "&amp;TEXT($B9," #.##0,00"),0)))</f>
        <v>0</v>
      </c>
      <c r="X9" s="111">
        <f>+IF(X$2=$E9,$D9,IF(X$2&gt;X$257,0,IF($C9=X$2,"PAGAR"&amp;" "&amp;TEXT($B9," #.##0,00"),0)))</f>
        <v>0</v>
      </c>
      <c r="Y9" s="111">
        <f>+IF(Y$2=$E9,$D9,IF(Y$2&gt;Y$257,0,IF($C9=Y$2,"PAGAR"&amp;" "&amp;TEXT($B9," #.##0,00"),0)))</f>
        <v>0</v>
      </c>
      <c r="Z9" s="111">
        <f>+IF(Z$2=$E9,$D9,IF(Z$2&gt;Z$257,0,IF($C9=Z$2,"PAGAR"&amp;" "&amp;TEXT($B9," #.##0,00"),0)))</f>
        <v>0</v>
      </c>
      <c r="AA9" s="111">
        <f>+IF(AA$2=$E9,$D9,IF(AA$2&gt;AA$257,0,IF($C9=AA$2,"PAGAR"&amp;" "&amp;TEXT($B9," #.##0,00"),0)))</f>
        <v>0</v>
      </c>
      <c r="AB9" s="111">
        <f>+IF(AB$2=$E9,$D9,IF(AB$2&gt;AB$257,0,IF($C9=AB$2,"PAGAR"&amp;" "&amp;TEXT($B9," #.##0,00"),0)))</f>
        <v>0</v>
      </c>
      <c r="AC9" s="111">
        <f>+IF(AC$2=$E9,$D9,IF(AC$2&gt;AC$257,0,IF($C9=AC$2,"PAGAR"&amp;" "&amp;TEXT($B9," #.##0,00"),0)))</f>
        <v>0</v>
      </c>
      <c r="AD9" s="111">
        <f>+IF(AD$2=$E9,$D9,IF(AD$2&gt;AD$257,0,IF($C9=AD$2,"PAGAR"&amp;" "&amp;TEXT($B9," #.##0,00"),0)))</f>
        <v>0</v>
      </c>
      <c r="AE9" s="111">
        <f>+IF(AE$2=$E9,$D9,IF(AE$2&gt;AE$257,0,IF($C9=AE$2,"PAGAR"&amp;" "&amp;TEXT($B9," #.##0,00"),0)))</f>
        <v>0</v>
      </c>
      <c r="AF9" s="111">
        <f>+IF(AF$2=$E9,$D9,IF(AF$2&gt;AF$257,0,IF($C9=AF$2,"PAGAR"&amp;" "&amp;TEXT($B9," #.##0,00"),0)))</f>
        <v>0</v>
      </c>
      <c r="AG9" s="111" t="str">
        <f>+IF(AG$2=$E9,$D9,IF(AG$2&gt;AG$257,0,IF($C9=AG$2,"PAGAR"&amp;" "&amp;TEXT($B9," #.##0,00"),0)))</f>
        <v>PAGAR  675,52</v>
      </c>
      <c r="AH9" s="111">
        <f>+IF(AH$2=$E9,$D9,IF(AH$2&gt;AH$257,0,IF($C9=AH$2,"PAGAR"&amp;" "&amp;TEXT($B9," #.##0,00"),0)))</f>
        <v>0</v>
      </c>
      <c r="AI9" s="111">
        <f>+IF(AI$2=$E9,$D9,IF(AI$2&gt;AI$257,0,IF($C9=AI$2,"PAGAR"&amp;" "&amp;TEXT($B9," #.##0,00"),0)))</f>
        <v>0</v>
      </c>
      <c r="AJ9" s="111">
        <f>+IF(AJ$2=$E9,$D9,IF(AJ$2&gt;AJ$257,0,IF($C9=AJ$2,"PAGAR"&amp;" "&amp;TEXT($B9," #.##0,00"),0)))</f>
        <v>0</v>
      </c>
      <c r="AK9" s="111">
        <f>+IF(AK$2=$E9,$D9,IF(AK$2&gt;AK$257,0,IF($C9=AK$2,"PAGAR"&amp;" "&amp;TEXT($B9," #.##0,00"),0)))</f>
        <v>0</v>
      </c>
      <c r="AL9" s="111">
        <f>+IF(AL$2=$E9,$D9,IF(AL$2&gt;AL$257,0,IF($C9=AL$2,"PAGAR"&amp;" "&amp;TEXT($B9," #.##0,00"),0)))</f>
        <v>0</v>
      </c>
      <c r="AM9" s="111">
        <f>+IF(AM$2=$E9,$D9,IF(AM$2&gt;AM$257,0,IF($C9=AM$2,"PAGAR"&amp;" "&amp;TEXT($B9," #.##0,00"),0)))</f>
        <v>0</v>
      </c>
      <c r="AN9" s="111">
        <f t="shared" ca="1" si="3"/>
        <v>0</v>
      </c>
      <c r="AO9" s="287">
        <f t="shared" si="4"/>
        <v>0</v>
      </c>
      <c r="AQ9" s="232"/>
      <c r="AR9" s="230"/>
      <c r="AS9" s="234"/>
      <c r="AT9" s="225"/>
      <c r="AU9" s="234"/>
      <c r="AV9" s="225"/>
      <c r="AW9" s="234"/>
      <c r="AX9" s="225"/>
      <c r="AY9" s="234"/>
      <c r="AZ9" s="226"/>
      <c r="BA9" s="236" t="str">
        <v>Perfecto -- folha</v>
      </c>
      <c r="BB9" s="226">
        <v>1500</v>
      </c>
      <c r="BC9" s="236"/>
      <c r="BD9" s="227"/>
    </row>
    <row r="10" spans="1:56" x14ac:dyDescent="0.25">
      <c r="A10" s="212" t="s">
        <v>137</v>
      </c>
      <c r="B10" s="90">
        <v>1928.17</v>
      </c>
      <c r="C10" s="91">
        <v>28</v>
      </c>
      <c r="D10" s="97"/>
      <c r="E10" s="166"/>
      <c r="F10" s="84">
        <f ca="1">+IF(TODAY()&lt;DATEVALUE(1&amp;D$1&amp;E$1),0,IF(C10&gt;0,IF(C10-SUM(I$255:AM$255)&lt;0,B10-SUM(I10:AM10,0),0),0))+IF(C10=-1,B10-SUM(J10:AM10))</f>
        <v>0</v>
      </c>
      <c r="G10" s="210">
        <f t="shared" si="5"/>
        <v>0</v>
      </c>
      <c r="H10" s="14"/>
      <c r="I10" s="111">
        <f>IF(I$2=$E10,$D10,IF(I$2&gt;I$257,0,IF($C10=I$2,"PAGAR"&amp;" "&amp;TEXT($B10," #.##0,00"),IF($C10=-1,"PAGAR"&amp;" "&amp;TEXT($B10," #.##0,00"),0))))</f>
        <v>0</v>
      </c>
      <c r="J10" s="111">
        <f>+IF(J$2=$E10,$D10,IF(J$2&gt;J$257,0,IF($C10=J$2,"PAGAR"&amp;" "&amp;TEXT($B10," #.##0,00"),0)))</f>
        <v>0</v>
      </c>
      <c r="K10" s="111">
        <f>+IF(K$2=$E10,$D10,IF(K$2&gt;K$257,0,IF($C10=K$2,"PAGAR"&amp;" "&amp;TEXT($B10," #.##0,00"),0)))</f>
        <v>0</v>
      </c>
      <c r="L10" s="111">
        <f>+IF(L$2=$E10,$D10,IF(L$2&gt;L$257,0,IF($C10=L$2,"PAGAR"&amp;" "&amp;TEXT($B10," #.##0,00"),0)))</f>
        <v>0</v>
      </c>
      <c r="M10" s="111">
        <f>+IF(M$2=$E10,$D10,IF(M$2&gt;M$257,0,IF($C10=M$2,"PAGAR"&amp;" "&amp;TEXT($B10," #.##0,00"),0)))</f>
        <v>0</v>
      </c>
      <c r="N10" s="111">
        <f>+IF(N$2=$E10,$D10,IF(N$2&gt;N$257,0,IF($C10=N$2,"PAGAR"&amp;" "&amp;TEXT($B10," #.##0,00"),0)))</f>
        <v>0</v>
      </c>
      <c r="O10" s="111">
        <f>+IF(O$2=$E10,$D10,IF(O$2&gt;O$257,0,IF($C10=O$2,"PAGAR"&amp;" "&amp;TEXT($B10," #.##0,00"),0)))</f>
        <v>0</v>
      </c>
      <c r="P10" s="111">
        <f>+IF(P$2=$E10,$D10,IF(P$2&gt;P$257,0,IF($C10=P$2,"PAGAR"&amp;" "&amp;TEXT($B10," #.##0,00"),0)))</f>
        <v>0</v>
      </c>
      <c r="Q10" s="111">
        <f>+IF(Q$2=$E10,$D10,IF(Q$2&gt;Q$257,0,IF($C10=Q$2,"PAGAR"&amp;" "&amp;TEXT($B10," #.##0,00"),0)))</f>
        <v>0</v>
      </c>
      <c r="R10" s="111">
        <f>+IF(R$2=$E10,$D10,IF(R$2&gt;R$257,0,IF($C10=R$2,"PAGAR"&amp;" "&amp;TEXT($B10," #.##0,00"),0)))</f>
        <v>0</v>
      </c>
      <c r="S10" s="111">
        <f>+IF(S$2=$E10,$D10,IF(S$2&gt;S$257,0,IF($C10=S$2,"PAGAR"&amp;" "&amp;TEXT($B10," #.##0,00"),0)))</f>
        <v>0</v>
      </c>
      <c r="T10" s="111">
        <f>+IF(T$2=$E10,$D10,IF(T$2&gt;T$257,0,IF($C10=T$2,"PAGAR"&amp;" "&amp;TEXT($B10," #.##0,00"),0)))</f>
        <v>0</v>
      </c>
      <c r="U10" s="111">
        <f>+IF(U$2=$E10,$D10,IF(U$2&gt;U$257,0,IF($C10=U$2,"PAGAR"&amp;" "&amp;TEXT($B10," #.##0,00"),0)))</f>
        <v>0</v>
      </c>
      <c r="V10" s="111">
        <f>+IF(V$2=$E10,$D10,IF(V$2&gt;V$257,0,IF($C10=V$2,"PAGAR"&amp;" "&amp;TEXT($B10," #.##0,00"),0)))</f>
        <v>0</v>
      </c>
      <c r="W10" s="111">
        <f>+IF(W$2=$E10,$D10,IF(W$2&gt;W$257,0,IF($C10=W$2,"PAGAR"&amp;" "&amp;TEXT($B10," #.##0,00"),0)))</f>
        <v>0</v>
      </c>
      <c r="X10" s="111">
        <f>+IF(X$2=$E10,$D10,IF(X$2&gt;X$257,0,IF($C10=X$2,"PAGAR"&amp;" "&amp;TEXT($B10," #.##0,00"),0)))</f>
        <v>0</v>
      </c>
      <c r="Y10" s="111">
        <f>+IF(Y$2=$E10,$D10,IF(Y$2&gt;Y$257,0,IF($C10=Y$2,"PAGAR"&amp;" "&amp;TEXT($B10," #.##0,00"),0)))</f>
        <v>0</v>
      </c>
      <c r="Z10" s="111">
        <f>+IF(Z$2=$E10,$D10,IF(Z$2&gt;Z$257,0,IF($C10=Z$2,"PAGAR"&amp;" "&amp;TEXT($B10," #.##0,00"),0)))</f>
        <v>0</v>
      </c>
      <c r="AA10" s="111">
        <f>+IF(AA$2=$E10,$D10,IF(AA$2&gt;AA$257,0,IF($C10=AA$2,"PAGAR"&amp;" "&amp;TEXT($B10," #.##0,00"),0)))</f>
        <v>0</v>
      </c>
      <c r="AB10" s="111">
        <f>+IF(AB$2=$E10,$D10,IF(AB$2&gt;AB$257,0,IF($C10=AB$2,"PAGAR"&amp;" "&amp;TEXT($B10," #.##0,00"),0)))</f>
        <v>0</v>
      </c>
      <c r="AC10" s="111">
        <f>+IF(AC$2=$E10,$D10,IF(AC$2&gt;AC$257,0,IF($C10=AC$2,"PAGAR"&amp;" "&amp;TEXT($B10," #.##0,00"),0)))</f>
        <v>0</v>
      </c>
      <c r="AD10" s="111">
        <f>+IF(AD$2=$E10,$D10,IF(AD$2&gt;AD$257,0,IF($C10=AD$2,"PAGAR"&amp;" "&amp;TEXT($B10," #.##0,00"),0)))</f>
        <v>0</v>
      </c>
      <c r="AE10" s="111">
        <f>+IF(AE$2=$E10,$D10,IF(AE$2&gt;AE$257,0,IF($C10=AE$2,"PAGAR"&amp;" "&amp;TEXT($B10," #.##0,00"),0)))</f>
        <v>0</v>
      </c>
      <c r="AF10" s="111">
        <f>+IF(AF$2=$E10,$D10,IF(AF$2&gt;AF$257,0,IF($C10=AF$2,"PAGAR"&amp;" "&amp;TEXT($B10," #.##0,00"),0)))</f>
        <v>0</v>
      </c>
      <c r="AG10" s="111">
        <f>+IF(AG$2=$E10,$D10,IF(AG$2&gt;AG$257,0,IF($C10=AG$2,"PAGAR"&amp;" "&amp;TEXT($B10," #.##0,00"),0)))</f>
        <v>0</v>
      </c>
      <c r="AH10" s="111">
        <f>+IF(AH$2=$E10,$D10,IF(AH$2&gt;AH$257,0,IF($C10=AH$2,"PAGAR"&amp;" "&amp;TEXT($B10," #.##0,00"),0)))</f>
        <v>0</v>
      </c>
      <c r="AI10" s="111">
        <f>+IF(AI$2=$E10,$D10,IF(AI$2&gt;AI$257,0,IF($C10=AI$2,"PAGAR"&amp;" "&amp;TEXT($B10," #.##0,00"),0)))</f>
        <v>0</v>
      </c>
      <c r="AJ10" s="111" t="str">
        <f>+IF(AJ$2=$E10,$D10,IF(AJ$2&gt;AJ$257,0,IF($C10=AJ$2,"PAGAR"&amp;" "&amp;TEXT($B10," #.##0,00"),0)))</f>
        <v>PAGAR  1.928,17</v>
      </c>
      <c r="AK10" s="111">
        <f>+IF(AK$2=$E10,$D10,IF(AK$2&gt;AK$257,0,IF($C10=AK$2,"PAGAR"&amp;" "&amp;TEXT($B10," #.##0,00"),0)))</f>
        <v>0</v>
      </c>
      <c r="AL10" s="111">
        <f>+IF(AL$2=$E10,$D10,IF(AL$2&gt;AL$257,0,IF($C10=AL$2,"PAGAR"&amp;" "&amp;TEXT($B10," #.##0,00"),0)))</f>
        <v>0</v>
      </c>
      <c r="AM10" s="111">
        <f>+IF(AM$2=$E10,$D10,IF(AM$2&gt;AM$257,0,IF($C10=AM$2,"PAGAR"&amp;" "&amp;TEXT($B10," #.##0,00"),0)))</f>
        <v>0</v>
      </c>
      <c r="AN10" s="111">
        <f t="shared" ca="1" si="3"/>
        <v>0</v>
      </c>
      <c r="AO10" s="287">
        <f t="shared" si="4"/>
        <v>0</v>
      </c>
      <c r="AQ10" s="250"/>
      <c r="AR10" s="251"/>
      <c r="AS10" s="245"/>
      <c r="AT10" s="246"/>
      <c r="AU10" s="245"/>
      <c r="AV10" s="252"/>
      <c r="AW10" s="245"/>
      <c r="AX10" s="246"/>
      <c r="AY10" s="245"/>
      <c r="AZ10" s="247"/>
      <c r="BA10" s="248"/>
      <c r="BB10" s="247"/>
      <c r="BC10" s="248"/>
      <c r="BD10" s="249"/>
    </row>
    <row r="11" spans="1:56" x14ac:dyDescent="0.25">
      <c r="A11" s="212" t="s">
        <v>138</v>
      </c>
      <c r="B11" s="90">
        <v>5.9</v>
      </c>
      <c r="C11" s="91">
        <v>3</v>
      </c>
      <c r="D11" s="97"/>
      <c r="E11" s="166"/>
      <c r="F11" s="84">
        <f ca="1">+IF(TODAY()&lt;DATEVALUE(1&amp;D$1&amp;E$1),0,IF(C11&gt;0,IF(C11-SUM(I$255:AM$255)&lt;0,B11-SUM(I11:AM11,0),0),0))+IF(C11=-1,B11-SUM(J11:AM11))</f>
        <v>5.9</v>
      </c>
      <c r="G11" s="210">
        <f t="shared" si="5"/>
        <v>0</v>
      </c>
      <c r="H11" s="14"/>
      <c r="I11" s="111">
        <f>IF(I$2=$E11,$D11,IF(I$2&gt;I$257,0,IF($C11=I$2,"PAGAR"&amp;" "&amp;TEXT($B11," #.##0,00"),IF($C11=-1,"PAGAR"&amp;" "&amp;TEXT($B11," #.##0,00"),0))))</f>
        <v>0</v>
      </c>
      <c r="J11" s="111">
        <f>+IF(J$2=$E11,$D11,IF(J$2&gt;J$257,0,IF($C11=J$2,"PAGAR"&amp;" "&amp;TEXT($B11," #.##0,00"),0)))</f>
        <v>0</v>
      </c>
      <c r="K11" s="111" t="str">
        <f>+IF(K$2=$E11,$D11,IF(K$2&gt;K$257,0,IF($C11=K$2,"PAGAR"&amp;" "&amp;TEXT($B11," #.##0,00"),0)))</f>
        <v>PAGAR  5,90</v>
      </c>
      <c r="L11" s="111">
        <f>+IF(L$2=$E11,$D11,IF(L$2&gt;L$257,0,IF($C11=L$2,"PAGAR"&amp;" "&amp;TEXT($B11," #.##0,00"),0)))</f>
        <v>0</v>
      </c>
      <c r="M11" s="111">
        <f>+IF(M$2=$E11,$D11,IF(M$2&gt;M$257,0,IF($C11=M$2,"PAGAR"&amp;" "&amp;TEXT($B11," #.##0,00"),0)))</f>
        <v>0</v>
      </c>
      <c r="N11" s="111">
        <f>+IF(N$2=$E11,$D11,IF(N$2&gt;N$257,0,IF($C11=N$2,"PAGAR"&amp;" "&amp;TEXT($B11," #.##0,00"),0)))</f>
        <v>0</v>
      </c>
      <c r="O11" s="111">
        <f>+IF(O$2=$E11,$D11,IF(O$2&gt;O$257,0,IF($C11=O$2,"PAGAR"&amp;" "&amp;TEXT($B11," #.##0,00"),0)))</f>
        <v>0</v>
      </c>
      <c r="P11" s="111">
        <f>+IF(P$2=$E11,$D11,IF(P$2&gt;P$257,0,IF($C11=P$2,"PAGAR"&amp;" "&amp;TEXT($B11," #.##0,00"),0)))</f>
        <v>0</v>
      </c>
      <c r="Q11" s="111">
        <f>+IF(Q$2=$E11,$D11,IF(Q$2&gt;Q$257,0,IF($C11=Q$2,"PAGAR"&amp;" "&amp;TEXT($B11," #.##0,00"),0)))</f>
        <v>0</v>
      </c>
      <c r="R11" s="111">
        <f>+IF(R$2=$E11,$D11,IF(R$2&gt;R$257,0,IF($C11=R$2,"PAGAR"&amp;" "&amp;TEXT($B11," #.##0,00"),0)))</f>
        <v>0</v>
      </c>
      <c r="S11" s="111">
        <f>+IF(S$2=$E11,$D11,IF(S$2&gt;S$257,0,IF($C11=S$2,"PAGAR"&amp;" "&amp;TEXT($B11," #.##0,00"),0)))</f>
        <v>0</v>
      </c>
      <c r="T11" s="111">
        <f>+IF(T$2=$E11,$D11,IF(T$2&gt;T$257,0,IF($C11=T$2,"PAGAR"&amp;" "&amp;TEXT($B11," #.##0,00"),0)))</f>
        <v>0</v>
      </c>
      <c r="U11" s="111">
        <f>+IF(U$2=$E11,$D11,IF(U$2&gt;U$257,0,IF($C11=U$2,"PAGAR"&amp;" "&amp;TEXT($B11," #.##0,00"),0)))</f>
        <v>0</v>
      </c>
      <c r="V11" s="111">
        <f>+IF(V$2=$E11,$D11,IF(V$2&gt;V$257,0,IF($C11=V$2,"PAGAR"&amp;" "&amp;TEXT($B11," #.##0,00"),0)))</f>
        <v>0</v>
      </c>
      <c r="W11" s="111">
        <f>+IF(W$2=$E11,$D11,IF(W$2&gt;W$257,0,IF($C11=W$2,"PAGAR"&amp;" "&amp;TEXT($B11," #.##0,00"),0)))</f>
        <v>0</v>
      </c>
      <c r="X11" s="111">
        <f>+IF(X$2=$E11,$D11,IF(X$2&gt;X$257,0,IF($C11=X$2,"PAGAR"&amp;" "&amp;TEXT($B11," #.##0,00"),0)))</f>
        <v>0</v>
      </c>
      <c r="Y11" s="111">
        <f>+IF(Y$2=$E11,$D11,IF(Y$2&gt;Y$257,0,IF($C11=Y$2,"PAGAR"&amp;" "&amp;TEXT($B11," #.##0,00"),0)))</f>
        <v>0</v>
      </c>
      <c r="Z11" s="111">
        <f>+IF(Z$2=$E11,$D11,IF(Z$2&gt;Z$257,0,IF($C11=Z$2,"PAGAR"&amp;" "&amp;TEXT($B11," #.##0,00"),0)))</f>
        <v>0</v>
      </c>
      <c r="AA11" s="111">
        <f>+IF(AA$2=$E11,$D11,IF(AA$2&gt;AA$257,0,IF($C11=AA$2,"PAGAR"&amp;" "&amp;TEXT($B11," #.##0,00"),0)))</f>
        <v>0</v>
      </c>
      <c r="AB11" s="111">
        <f>+IF(AB$2=$E11,$D11,IF(AB$2&gt;AB$257,0,IF($C11=AB$2,"PAGAR"&amp;" "&amp;TEXT($B11," #.##0,00"),0)))</f>
        <v>0</v>
      </c>
      <c r="AC11" s="111">
        <f>+IF(AC$2=$E11,$D11,IF(AC$2&gt;AC$257,0,IF($C11=AC$2,"PAGAR"&amp;" "&amp;TEXT($B11," #.##0,00"),0)))</f>
        <v>0</v>
      </c>
      <c r="AD11" s="111">
        <f>+IF(AD$2=$E11,$D11,IF(AD$2&gt;AD$257,0,IF($C11=AD$2,"PAGAR"&amp;" "&amp;TEXT($B11," #.##0,00"),0)))</f>
        <v>0</v>
      </c>
      <c r="AE11" s="111">
        <f>+IF(AE$2=$E11,$D11,IF(AE$2&gt;AE$257,0,IF($C11=AE$2,"PAGAR"&amp;" "&amp;TEXT($B11," #.##0,00"),0)))</f>
        <v>0</v>
      </c>
      <c r="AF11" s="111">
        <f>+IF(AF$2=$E11,$D11,IF(AF$2&gt;AF$257,0,IF($C11=AF$2,"PAGAR"&amp;" "&amp;TEXT($B11," #.##0,00"),0)))</f>
        <v>0</v>
      </c>
      <c r="AG11" s="111">
        <f>+IF(AG$2=$E11,$D11,IF(AG$2&gt;AG$257,0,IF($C11=AG$2,"PAGAR"&amp;" "&amp;TEXT($B11," #.##0,00"),0)))</f>
        <v>0</v>
      </c>
      <c r="AH11" s="111">
        <f>+IF(AH$2=$E11,$D11,IF(AH$2&gt;AH$257,0,IF($C11=AH$2,"PAGAR"&amp;" "&amp;TEXT($B11," #.##0,00"),0)))</f>
        <v>0</v>
      </c>
      <c r="AI11" s="111">
        <f>+IF(AI$2=$E11,$D11,IF(AI$2&gt;AI$257,0,IF($C11=AI$2,"PAGAR"&amp;" "&amp;TEXT($B11," #.##0,00"),0)))</f>
        <v>0</v>
      </c>
      <c r="AJ11" s="111">
        <f>+IF(AJ$2=$E11,$D11,IF(AJ$2&gt;AJ$257,0,IF($C11=AJ$2,"PAGAR"&amp;" "&amp;TEXT($B11," #.##0,00"),0)))</f>
        <v>0</v>
      </c>
      <c r="AK11" s="111">
        <f>+IF(AK$2=$E11,$D11,IF(AK$2&gt;AK$257,0,IF($C11=AK$2,"PAGAR"&amp;" "&amp;TEXT($B11," #.##0,00"),0)))</f>
        <v>0</v>
      </c>
      <c r="AL11" s="111">
        <f>+IF(AL$2=$E11,$D11,IF(AL$2&gt;AL$257,0,IF($C11=AL$2,"PAGAR"&amp;" "&amp;TEXT($B11," #.##0,00"),0)))</f>
        <v>0</v>
      </c>
      <c r="AM11" s="111">
        <f>+IF(AM$2=$E11,$D11,IF(AM$2&gt;AM$257,0,IF($C11=AM$2,"PAGAR"&amp;" "&amp;TEXT($B11," #.##0,00"),0)))</f>
        <v>0</v>
      </c>
      <c r="AN11" s="111">
        <f t="shared" ca="1" si="3"/>
        <v>0</v>
      </c>
      <c r="AO11" s="287">
        <f t="shared" si="4"/>
        <v>0</v>
      </c>
      <c r="AQ11" s="232"/>
      <c r="AR11" s="230"/>
      <c r="AS11" s="234"/>
      <c r="AT11" s="225"/>
      <c r="AU11" s="234"/>
      <c r="AV11" s="225"/>
      <c r="AW11" s="234"/>
      <c r="AX11" s="225"/>
      <c r="AY11" s="234"/>
      <c r="AZ11" s="226"/>
      <c r="BA11" s="236"/>
      <c r="BB11" s="226"/>
      <c r="BC11" s="236"/>
      <c r="BD11" s="227"/>
    </row>
    <row r="12" spans="1:56" x14ac:dyDescent="0.25">
      <c r="A12" s="212" t="s">
        <v>136</v>
      </c>
      <c r="B12" s="90">
        <v>44.9</v>
      </c>
      <c r="C12" s="91">
        <v>7</v>
      </c>
      <c r="D12" s="97"/>
      <c r="E12" s="166"/>
      <c r="F12" s="84">
        <f ca="1">+IF(TODAY()&lt;DATEVALUE(1&amp;D$1&amp;E$1),0,IF(C12&gt;0,IF(C12-SUM(I$255:AM$255)&lt;0,B12-SUM(I12:AM12,0),0),0))+IF(C12=-1,B12-SUM(J12:AM12))</f>
        <v>44.9</v>
      </c>
      <c r="G12" s="210">
        <f t="shared" si="5"/>
        <v>0</v>
      </c>
      <c r="H12" s="14"/>
      <c r="I12" s="111">
        <f>IF(I$2=$E12,$D12,IF(I$2&gt;I$257,0,IF($C12=I$2,"PAGAR"&amp;" "&amp;TEXT($B12," #.##0,00"),IF($C12=-1,"PAGAR"&amp;" "&amp;TEXT($B12," #.##0,00"),0))))</f>
        <v>0</v>
      </c>
      <c r="J12" s="111">
        <f>+IF(J$2=$E12,$D12,IF(J$2&gt;J$257,0,IF($C12=J$2,"PAGAR"&amp;" "&amp;TEXT($B12," #.##0,00"),0)))</f>
        <v>0</v>
      </c>
      <c r="K12" s="111">
        <f>+IF(K$2=$E12,$D12,IF(K$2&gt;K$257,0,IF($C12=K$2,"PAGAR"&amp;" "&amp;TEXT($B12," #.##0,00"),0)))</f>
        <v>0</v>
      </c>
      <c r="L12" s="111">
        <f>+IF(L$2=$E12,$D12,IF(L$2&gt;L$257,0,IF($C12=L$2,"PAGAR"&amp;" "&amp;TEXT($B12," #.##0,00"),0)))</f>
        <v>0</v>
      </c>
      <c r="M12" s="111">
        <f>+IF(M$2=$E12,$D12,IF(M$2&gt;M$257,0,IF($C12=M$2,"PAGAR"&amp;" "&amp;TEXT($B12," #.##0,00"),0)))</f>
        <v>0</v>
      </c>
      <c r="N12" s="111">
        <f>+IF(N$2=$E12,$D12,IF(N$2&gt;N$257,0,IF($C12=N$2,"PAGAR"&amp;" "&amp;TEXT($B12," #.##0,00"),0)))</f>
        <v>0</v>
      </c>
      <c r="O12" s="111" t="str">
        <f>+IF(O$2=$E12,$D12,IF(O$2&gt;O$257,0,IF($C12=O$2,"PAGAR"&amp;" "&amp;TEXT($B12," #.##0,00"),0)))</f>
        <v>PAGAR  44,90</v>
      </c>
      <c r="P12" s="111">
        <f>+IF(P$2=$E12,$D12,IF(P$2&gt;P$257,0,IF($C12=P$2,"PAGAR"&amp;" "&amp;TEXT($B12," #.##0,00"),0)))</f>
        <v>0</v>
      </c>
      <c r="Q12" s="111">
        <f>+IF(Q$2=$E12,$D12,IF(Q$2&gt;Q$257,0,IF($C12=Q$2,"PAGAR"&amp;" "&amp;TEXT($B12," #.##0,00"),0)))</f>
        <v>0</v>
      </c>
      <c r="R12" s="111">
        <f>+IF(R$2=$E12,$D12,IF(R$2&gt;R$257,0,IF($C12=R$2,"PAGAR"&amp;" "&amp;TEXT($B12," #.##0,00"),0)))</f>
        <v>0</v>
      </c>
      <c r="S12" s="111">
        <f>+IF(S$2=$E12,$D12,IF(S$2&gt;S$257,0,IF($C12=S$2,"PAGAR"&amp;" "&amp;TEXT($B12," #.##0,00"),0)))</f>
        <v>0</v>
      </c>
      <c r="T12" s="111">
        <f>+IF(T$2=$E12,$D12,IF(T$2&gt;T$257,0,IF($C12=T$2,"PAGAR"&amp;" "&amp;TEXT($B12," #.##0,00"),0)))</f>
        <v>0</v>
      </c>
      <c r="U12" s="111">
        <f>+IF(U$2=$E12,$D12,IF(U$2&gt;U$257,0,IF($C12=U$2,"PAGAR"&amp;" "&amp;TEXT($B12," #.##0,00"),0)))</f>
        <v>0</v>
      </c>
      <c r="V12" s="111">
        <f>+IF(V$2=$E12,$D12,IF(V$2&gt;V$257,0,IF($C12=V$2,"PAGAR"&amp;" "&amp;TEXT($B12," #.##0,00"),0)))</f>
        <v>0</v>
      </c>
      <c r="W12" s="111">
        <f>+IF(W$2=$E12,$D12,IF(W$2&gt;W$257,0,IF($C12=W$2,"PAGAR"&amp;" "&amp;TEXT($B12," #.##0,00"),0)))</f>
        <v>0</v>
      </c>
      <c r="X12" s="111">
        <f>+IF(X$2=$E12,$D12,IF(X$2&gt;X$257,0,IF($C12=X$2,"PAGAR"&amp;" "&amp;TEXT($B12," #.##0,00"),0)))</f>
        <v>0</v>
      </c>
      <c r="Y12" s="111">
        <f>+IF(Y$2=$E12,$D12,IF(Y$2&gt;Y$257,0,IF($C12=Y$2,"PAGAR"&amp;" "&amp;TEXT($B12," #.##0,00"),0)))</f>
        <v>0</v>
      </c>
      <c r="Z12" s="111">
        <f>+IF(Z$2=$E12,$D12,IF(Z$2&gt;Z$257,0,IF($C12=Z$2,"PAGAR"&amp;" "&amp;TEXT($B12," #.##0,00"),0)))</f>
        <v>0</v>
      </c>
      <c r="AA12" s="111">
        <f>+IF(AA$2=$E12,$D12,IF(AA$2&gt;AA$257,0,IF($C12=AA$2,"PAGAR"&amp;" "&amp;TEXT($B12," #.##0,00"),0)))</f>
        <v>0</v>
      </c>
      <c r="AB12" s="111">
        <f>+IF(AB$2=$E12,$D12,IF(AB$2&gt;AB$257,0,IF($C12=AB$2,"PAGAR"&amp;" "&amp;TEXT($B12," #.##0,00"),0)))</f>
        <v>0</v>
      </c>
      <c r="AC12" s="111">
        <f>+IF(AC$2=$E12,$D12,IF(AC$2&gt;AC$257,0,IF($C12=AC$2,"PAGAR"&amp;" "&amp;TEXT($B12," #.##0,00"),0)))</f>
        <v>0</v>
      </c>
      <c r="AD12" s="111">
        <f>+IF(AD$2=$E12,$D12,IF(AD$2&gt;AD$257,0,IF($C12=AD$2,"PAGAR"&amp;" "&amp;TEXT($B12," #.##0,00"),0)))</f>
        <v>0</v>
      </c>
      <c r="AE12" s="111">
        <f>+IF(AE$2=$E12,$D12,IF(AE$2&gt;AE$257,0,IF($C12=AE$2,"PAGAR"&amp;" "&amp;TEXT($B12," #.##0,00"),0)))</f>
        <v>0</v>
      </c>
      <c r="AF12" s="111">
        <f>+IF(AF$2=$E12,$D12,IF(AF$2&gt;AF$257,0,IF($C12=AF$2,"PAGAR"&amp;" "&amp;TEXT($B12," #.##0,00"),0)))</f>
        <v>0</v>
      </c>
      <c r="AG12" s="111">
        <f>+IF(AG$2=$E12,$D12,IF(AG$2&gt;AG$257,0,IF($C12=AG$2,"PAGAR"&amp;" "&amp;TEXT($B12," #.##0,00"),0)))</f>
        <v>0</v>
      </c>
      <c r="AH12" s="111">
        <f>+IF(AH$2=$E12,$D12,IF(AH$2&gt;AH$257,0,IF($C12=AH$2,"PAGAR"&amp;" "&amp;TEXT($B12," #.##0,00"),0)))</f>
        <v>0</v>
      </c>
      <c r="AI12" s="111">
        <f>+IF(AI$2=$E12,$D12,IF(AI$2&gt;AI$257,0,IF($C12=AI$2,"PAGAR"&amp;" "&amp;TEXT($B12," #.##0,00"),0)))</f>
        <v>0</v>
      </c>
      <c r="AJ12" s="111">
        <f>+IF(AJ$2=$E12,$D12,IF(AJ$2&gt;AJ$257,0,IF($C12=AJ$2,"PAGAR"&amp;" "&amp;TEXT($B12," #.##0,00"),0)))</f>
        <v>0</v>
      </c>
      <c r="AK12" s="111">
        <f>+IF(AK$2=$E12,$D12,IF(AK$2&gt;AK$257,0,IF($C12=AK$2,"PAGAR"&amp;" "&amp;TEXT($B12," #.##0,00"),0)))</f>
        <v>0</v>
      </c>
      <c r="AL12" s="111">
        <f>+IF(AL$2=$E12,$D12,IF(AL$2&gt;AL$257,0,IF($C12=AL$2,"PAGAR"&amp;" "&amp;TEXT($B12," #.##0,00"),0)))</f>
        <v>0</v>
      </c>
      <c r="AM12" s="111">
        <f>+IF(AM$2=$E12,$D12,IF(AM$2&gt;AM$257,0,IF($C12=AM$2,"PAGAR"&amp;" "&amp;TEXT($B12," #.##0,00"),0)))</f>
        <v>0</v>
      </c>
      <c r="AN12" s="111">
        <f t="shared" ca="1" si="3"/>
        <v>0</v>
      </c>
      <c r="AO12" s="287">
        <f t="shared" si="4"/>
        <v>0</v>
      </c>
      <c r="AQ12" s="253"/>
      <c r="AR12" s="254"/>
      <c r="AS12" s="242"/>
      <c r="AT12" s="243"/>
      <c r="AU12" s="242"/>
      <c r="AV12" s="164"/>
      <c r="AW12" s="242"/>
      <c r="AX12" s="243"/>
      <c r="AY12" s="242"/>
      <c r="AZ12" s="243"/>
      <c r="BA12" s="242"/>
      <c r="BB12" s="243"/>
      <c r="BC12" s="242"/>
      <c r="BD12" s="244"/>
    </row>
    <row r="13" spans="1:56" x14ac:dyDescent="0.25">
      <c r="A13" s="212" t="s">
        <v>139</v>
      </c>
      <c r="B13" s="90">
        <v>96.99</v>
      </c>
      <c r="C13" s="91">
        <v>22</v>
      </c>
      <c r="D13" s="97"/>
      <c r="E13" s="166"/>
      <c r="F13" s="84">
        <f ca="1">+IF(TODAY()&lt;DATEVALUE(1&amp;D$1&amp;E$1),0,IF(C13&gt;0,IF(C13-SUM(I$255:AM$255)&lt;0,B13-SUM(I13:AM13,0),0),0))+IF(C13=-1,B13-SUM(J13:AM13))</f>
        <v>0</v>
      </c>
      <c r="G13" s="210">
        <f t="shared" si="5"/>
        <v>0</v>
      </c>
      <c r="H13" s="14"/>
      <c r="I13" s="111">
        <f>IF(I$2=$E13,$D13,IF(I$2&gt;I$257,0,IF($C13=I$2,"PAGAR"&amp;" "&amp;TEXT($B13," #.##0,00"),IF($C13=-1,"PAGAR"&amp;" "&amp;TEXT($B13," #.##0,00"),0))))</f>
        <v>0</v>
      </c>
      <c r="J13" s="111">
        <f>+IF(J$2=$E13,$D13,IF(J$2&gt;J$257,0,IF($C13=J$2,"PAGAR"&amp;" "&amp;TEXT($B13," #.##0,00"),0)))</f>
        <v>0</v>
      </c>
      <c r="K13" s="111">
        <f>+IF(K$2=$E13,$D13,IF(K$2&gt;K$257,0,IF($C13=K$2,"PAGAR"&amp;" "&amp;TEXT($B13," #.##0,00"),0)))</f>
        <v>0</v>
      </c>
      <c r="L13" s="111">
        <f>+IF(L$2=$E13,$D13,IF(L$2&gt;L$257,0,IF($C13=L$2,"PAGAR"&amp;" "&amp;TEXT($B13," #.##0,00"),0)))</f>
        <v>0</v>
      </c>
      <c r="M13" s="111">
        <f>+IF(M$2=$E13,$D13,IF(M$2&gt;M$257,0,IF($C13=M$2,"PAGAR"&amp;" "&amp;TEXT($B13," #.##0,00"),0)))</f>
        <v>0</v>
      </c>
      <c r="N13" s="111">
        <f>+IF(N$2=$E13,$D13,IF(N$2&gt;N$257,0,IF($C13=N$2,"PAGAR"&amp;" "&amp;TEXT($B13," #.##0,00"),0)))</f>
        <v>0</v>
      </c>
      <c r="O13" s="111">
        <f>+IF(O$2=$E13,$D13,IF(O$2&gt;O$257,0,IF($C13=O$2,"PAGAR"&amp;" "&amp;TEXT($B13," #.##0,00"),0)))</f>
        <v>0</v>
      </c>
      <c r="P13" s="111">
        <f>+IF(P$2=$E13,$D13,IF(P$2&gt;P$257,0,IF($C13=P$2,"PAGAR"&amp;" "&amp;TEXT($B13," #.##0,00"),0)))</f>
        <v>0</v>
      </c>
      <c r="Q13" s="111">
        <f>+IF(Q$2=$E13,$D13,IF(Q$2&gt;Q$257,0,IF($C13=Q$2,"PAGAR"&amp;" "&amp;TEXT($B13," #.##0,00"),0)))</f>
        <v>0</v>
      </c>
      <c r="R13" s="111">
        <f>+IF(R$2=$E13,$D13,IF(R$2&gt;R$257,0,IF($C13=R$2,"PAGAR"&amp;" "&amp;TEXT($B13," #.##0,00"),0)))</f>
        <v>0</v>
      </c>
      <c r="S13" s="111">
        <f>+IF(S$2=$E13,$D13,IF(S$2&gt;S$257,0,IF($C13=S$2,"PAGAR"&amp;" "&amp;TEXT($B13," #.##0,00"),0)))</f>
        <v>0</v>
      </c>
      <c r="T13" s="111">
        <f>+IF(T$2=$E13,$D13,IF(T$2&gt;T$257,0,IF($C13=T$2,"PAGAR"&amp;" "&amp;TEXT($B13," #.##0,00"),0)))</f>
        <v>0</v>
      </c>
      <c r="U13" s="111">
        <f>+IF(U$2=$E13,$D13,IF(U$2&gt;U$257,0,IF($C13=U$2,"PAGAR"&amp;" "&amp;TEXT($B13," #.##0,00"),0)))</f>
        <v>0</v>
      </c>
      <c r="V13" s="111">
        <f>+IF(V$2=$E13,$D13,IF(V$2&gt;V$257,0,IF($C13=V$2,"PAGAR"&amp;" "&amp;TEXT($B13," #.##0,00"),0)))</f>
        <v>0</v>
      </c>
      <c r="W13" s="111">
        <f>+IF(W$2=$E13,$D13,IF(W$2&gt;W$257,0,IF($C13=W$2,"PAGAR"&amp;" "&amp;TEXT($B13," #.##0,00"),0)))</f>
        <v>0</v>
      </c>
      <c r="X13" s="111">
        <f>+IF(X$2=$E13,$D13,IF(X$2&gt;X$257,0,IF($C13=X$2,"PAGAR"&amp;" "&amp;TEXT($B13," #.##0,00"),0)))</f>
        <v>0</v>
      </c>
      <c r="Y13" s="111">
        <f>+IF(Y$2=$E13,$D13,IF(Y$2&gt;Y$257,0,IF($C13=Y$2,"PAGAR"&amp;" "&amp;TEXT($B13," #.##0,00"),0)))</f>
        <v>0</v>
      </c>
      <c r="Z13" s="111">
        <f>+IF(Z$2=$E13,$D13,IF(Z$2&gt;Z$257,0,IF($C13=Z$2,"PAGAR"&amp;" "&amp;TEXT($B13," #.##0,00"),0)))</f>
        <v>0</v>
      </c>
      <c r="AA13" s="111">
        <f>+IF(AA$2=$E13,$D13,IF(AA$2&gt;AA$257,0,IF($C13=AA$2,"PAGAR"&amp;" "&amp;TEXT($B13," #.##0,00"),0)))</f>
        <v>0</v>
      </c>
      <c r="AB13" s="111">
        <f>+IF(AB$2=$E13,$D13,IF(AB$2&gt;AB$257,0,IF($C13=AB$2,"PAGAR"&amp;" "&amp;TEXT($B13," #.##0,00"),0)))</f>
        <v>0</v>
      </c>
      <c r="AC13" s="111">
        <f>+IF(AC$2=$E13,$D13,IF(AC$2&gt;AC$257,0,IF($C13=AC$2,"PAGAR"&amp;" "&amp;TEXT($B13," #.##0,00"),0)))</f>
        <v>0</v>
      </c>
      <c r="AD13" s="111" t="str">
        <f>+IF(AD$2=$E13,$D13,IF(AD$2&gt;AD$257,0,IF($C13=AD$2,"PAGAR"&amp;" "&amp;TEXT($B13," #.##0,00"),0)))</f>
        <v>PAGAR  96,99</v>
      </c>
      <c r="AE13" s="111">
        <f>+IF(AE$2=$E13,$D13,IF(AE$2&gt;AE$257,0,IF($C13=AE$2,"PAGAR"&amp;" "&amp;TEXT($B13," #.##0,00"),0)))</f>
        <v>0</v>
      </c>
      <c r="AF13" s="111">
        <f>+IF(AF$2=$E13,$D13,IF(AF$2&gt;AF$257,0,IF($C13=AF$2,"PAGAR"&amp;" "&amp;TEXT($B13," #.##0,00"),0)))</f>
        <v>0</v>
      </c>
      <c r="AG13" s="111">
        <f>+IF(AG$2=$E13,$D13,IF(AG$2&gt;AG$257,0,IF($C13=AG$2,"PAGAR"&amp;" "&amp;TEXT($B13," #.##0,00"),0)))</f>
        <v>0</v>
      </c>
      <c r="AH13" s="111">
        <f>+IF(AH$2=$E13,$D13,IF(AH$2&gt;AH$257,0,IF($C13=AH$2,"PAGAR"&amp;" "&amp;TEXT($B13," #.##0,00"),0)))</f>
        <v>0</v>
      </c>
      <c r="AI13" s="111">
        <f>+IF(AI$2=$E13,$D13,IF(AI$2&gt;AI$257,0,IF($C13=AI$2,"PAGAR"&amp;" "&amp;TEXT($B13," #.##0,00"),0)))</f>
        <v>0</v>
      </c>
      <c r="AJ13" s="111">
        <f>+IF(AJ$2=$E13,$D13,IF(AJ$2&gt;AJ$257,0,IF($C13=AJ$2,"PAGAR"&amp;" "&amp;TEXT($B13," #.##0,00"),0)))</f>
        <v>0</v>
      </c>
      <c r="AK13" s="111">
        <f>+IF(AK$2=$E13,$D13,IF(AK$2&gt;AK$257,0,IF($C13=AK$2,"PAGAR"&amp;" "&amp;TEXT($B13," #.##0,00"),0)))</f>
        <v>0</v>
      </c>
      <c r="AL13" s="111">
        <f>+IF(AL$2=$E13,$D13,IF(AL$2&gt;AL$257,0,IF($C13=AL$2,"PAGAR"&amp;" "&amp;TEXT($B13," #.##0,00"),0)))</f>
        <v>0</v>
      </c>
      <c r="AM13" s="111">
        <f>+IF(AM$2=$E13,$D13,IF(AM$2&gt;AM$257,0,IF($C13=AM$2,"PAGAR"&amp;" "&amp;TEXT($B13," #.##0,00"),0)))</f>
        <v>0</v>
      </c>
      <c r="AN13" s="111">
        <f t="shared" ca="1" si="3"/>
        <v>0</v>
      </c>
      <c r="AO13" s="287">
        <f t="shared" si="4"/>
        <v>0</v>
      </c>
      <c r="AQ13" s="237"/>
      <c r="AR13" s="238"/>
      <c r="AS13" s="239"/>
      <c r="AT13" s="240"/>
      <c r="AU13" s="239"/>
      <c r="AV13" s="240"/>
      <c r="AW13" s="239"/>
      <c r="AX13" s="240"/>
      <c r="AY13" s="239"/>
      <c r="AZ13" s="240"/>
      <c r="BA13" s="239"/>
      <c r="BB13" s="240"/>
      <c r="BC13" s="239"/>
      <c r="BD13" s="241"/>
    </row>
    <row r="14" spans="1:56" ht="15.75" thickBot="1" x14ac:dyDescent="0.3">
      <c r="A14" s="212" t="s">
        <v>140</v>
      </c>
      <c r="B14" s="90">
        <v>286.77999999999997</v>
      </c>
      <c r="C14" s="91">
        <v>28</v>
      </c>
      <c r="D14" s="97"/>
      <c r="E14" s="166"/>
      <c r="F14" s="84">
        <f ca="1">+IF(TODAY()&lt;DATEVALUE(1&amp;D$1&amp;E$1),0,IF(C14&gt;0,IF(C14-SUM(I$255:AM$255)&lt;0,B14-SUM(I14:AM14,0),0),0))+IF(C14=-1,B14-SUM(J14:AM14))</f>
        <v>0</v>
      </c>
      <c r="G14" s="210">
        <f t="shared" si="5"/>
        <v>0</v>
      </c>
      <c r="H14" s="14"/>
      <c r="I14" s="111">
        <f>IF(I$2=$E14,$D14,IF(I$2&gt;I$257,0,IF($C14=I$2,"PAGAR"&amp;" "&amp;TEXT($B14," #.##0,00"),IF($C14=-1,"PAGAR"&amp;" "&amp;TEXT($B14," #.##0,00"),0))))</f>
        <v>0</v>
      </c>
      <c r="J14" s="111">
        <f>+IF(J$2=$E14,$D14,IF(J$2&gt;J$257,0,IF($C14=J$2,"PAGAR"&amp;" "&amp;TEXT($B14," #.##0,00"),0)))</f>
        <v>0</v>
      </c>
      <c r="K14" s="111">
        <f>+IF(K$2=$E14,$D14,IF(K$2&gt;K$257,0,IF($C14=K$2,"PAGAR"&amp;" "&amp;TEXT($B14," #.##0,00"),0)))</f>
        <v>0</v>
      </c>
      <c r="L14" s="111">
        <f>+IF(L$2=$E14,$D14,IF(L$2&gt;L$257,0,IF($C14=L$2,"PAGAR"&amp;" "&amp;TEXT($B14," #.##0,00"),0)))</f>
        <v>0</v>
      </c>
      <c r="M14" s="111">
        <f>+IF(M$2=$E14,$D14,IF(M$2&gt;M$257,0,IF($C14=M$2,"PAGAR"&amp;" "&amp;TEXT($B14," #.##0,00"),0)))</f>
        <v>0</v>
      </c>
      <c r="N14" s="111">
        <f>+IF(N$2=$E14,$D14,IF(N$2&gt;N$257,0,IF($C14=N$2,"PAGAR"&amp;" "&amp;TEXT($B14," #.##0,00"),0)))</f>
        <v>0</v>
      </c>
      <c r="O14" s="111">
        <f>+IF(O$2=$E14,$D14,IF(O$2&gt;O$257,0,IF($C14=O$2,"PAGAR"&amp;" "&amp;TEXT($B14," #.##0,00"),0)))</f>
        <v>0</v>
      </c>
      <c r="P14" s="111">
        <f>+IF(P$2=$E14,$D14,IF(P$2&gt;P$257,0,IF($C14=P$2,"PAGAR"&amp;" "&amp;TEXT($B14," #.##0,00"),0)))</f>
        <v>0</v>
      </c>
      <c r="Q14" s="111">
        <f>+IF(Q$2=$E14,$D14,IF(Q$2&gt;Q$257,0,IF($C14=Q$2,"PAGAR"&amp;" "&amp;TEXT($B14," #.##0,00"),0)))</f>
        <v>0</v>
      </c>
      <c r="R14" s="111">
        <f>+IF(R$2=$E14,$D14,IF(R$2&gt;R$257,0,IF($C14=R$2,"PAGAR"&amp;" "&amp;TEXT($B14," #.##0,00"),0)))</f>
        <v>0</v>
      </c>
      <c r="S14" s="111">
        <f>+IF(S$2=$E14,$D14,IF(S$2&gt;S$257,0,IF($C14=S$2,"PAGAR"&amp;" "&amp;TEXT($B14," #.##0,00"),0)))</f>
        <v>0</v>
      </c>
      <c r="T14" s="111">
        <f>+IF(T$2=$E14,$D14,IF(T$2&gt;T$257,0,IF($C14=T$2,"PAGAR"&amp;" "&amp;TEXT($B14," #.##0,00"),0)))</f>
        <v>0</v>
      </c>
      <c r="U14" s="111">
        <f>+IF(U$2=$E14,$D14,IF(U$2&gt;U$257,0,IF($C14=U$2,"PAGAR"&amp;" "&amp;TEXT($B14," #.##0,00"),0)))</f>
        <v>0</v>
      </c>
      <c r="V14" s="111">
        <f>+IF(V$2=$E14,$D14,IF(V$2&gt;V$257,0,IF($C14=V$2,"PAGAR"&amp;" "&amp;TEXT($B14," #.##0,00"),0)))</f>
        <v>0</v>
      </c>
      <c r="W14" s="111">
        <f>+IF(W$2=$E14,$D14,IF(W$2&gt;W$257,0,IF($C14=W$2,"PAGAR"&amp;" "&amp;TEXT($B14," #.##0,00"),0)))</f>
        <v>0</v>
      </c>
      <c r="X14" s="111">
        <f>+IF(X$2=$E14,$D14,IF(X$2&gt;X$257,0,IF($C14=X$2,"PAGAR"&amp;" "&amp;TEXT($B14," #.##0,00"),0)))</f>
        <v>0</v>
      </c>
      <c r="Y14" s="111">
        <f>+IF(Y$2=$E14,$D14,IF(Y$2&gt;Y$257,0,IF($C14=Y$2,"PAGAR"&amp;" "&amp;TEXT($B14," #.##0,00"),0)))</f>
        <v>0</v>
      </c>
      <c r="Z14" s="111">
        <f>+IF(Z$2=$E14,$D14,IF(Z$2&gt;Z$257,0,IF($C14=Z$2,"PAGAR"&amp;" "&amp;TEXT($B14," #.##0,00"),0)))</f>
        <v>0</v>
      </c>
      <c r="AA14" s="111">
        <f>+IF(AA$2=$E14,$D14,IF(AA$2&gt;AA$257,0,IF($C14=AA$2,"PAGAR"&amp;" "&amp;TEXT($B14," #.##0,00"),0)))</f>
        <v>0</v>
      </c>
      <c r="AB14" s="111">
        <f>+IF(AB$2=$E14,$D14,IF(AB$2&gt;AB$257,0,IF($C14=AB$2,"PAGAR"&amp;" "&amp;TEXT($B14," #.##0,00"),0)))</f>
        <v>0</v>
      </c>
      <c r="AC14" s="111">
        <f>+IF(AC$2=$E14,$D14,IF(AC$2&gt;AC$257,0,IF($C14=AC$2,"PAGAR"&amp;" "&amp;TEXT($B14," #.##0,00"),0)))</f>
        <v>0</v>
      </c>
      <c r="AD14" s="111">
        <f>+IF(AD$2=$E14,$D14,IF(AD$2&gt;AD$257,0,IF($C14=AD$2,"PAGAR"&amp;" "&amp;TEXT($B14," #.##0,00"),0)))</f>
        <v>0</v>
      </c>
      <c r="AE14" s="111">
        <f>+IF(AE$2=$E14,$D14,IF(AE$2&gt;AE$257,0,IF($C14=AE$2,"PAGAR"&amp;" "&amp;TEXT($B14," #.##0,00"),0)))</f>
        <v>0</v>
      </c>
      <c r="AF14" s="111">
        <f>+IF(AF$2=$E14,$D14,IF(AF$2&gt;AF$257,0,IF($C14=AF$2,"PAGAR"&amp;" "&amp;TEXT($B14," #.##0,00"),0)))</f>
        <v>0</v>
      </c>
      <c r="AG14" s="111">
        <f>+IF(AG$2=$E14,$D14,IF(AG$2&gt;AG$257,0,IF($C14=AG$2,"PAGAR"&amp;" "&amp;TEXT($B14," #.##0,00"),0)))</f>
        <v>0</v>
      </c>
      <c r="AH14" s="111">
        <f>+IF(AH$2=$E14,$D14,IF(AH$2&gt;AH$257,0,IF($C14=AH$2,"PAGAR"&amp;" "&amp;TEXT($B14," #.##0,00"),0)))</f>
        <v>0</v>
      </c>
      <c r="AI14" s="111">
        <f>+IF(AI$2=$E14,$D14,IF(AI$2&gt;AI$257,0,IF($C14=AI$2,"PAGAR"&amp;" "&amp;TEXT($B14," #.##0,00"),0)))</f>
        <v>0</v>
      </c>
      <c r="AJ14" s="111" t="str">
        <f>+IF(AJ$2=$E14,$D14,IF(AJ$2&gt;AJ$257,0,IF($C14=AJ$2,"PAGAR"&amp;" "&amp;TEXT($B14," #.##0,00"),0)))</f>
        <v>PAGAR  286,78</v>
      </c>
      <c r="AK14" s="111">
        <f>+IF(AK$2=$E14,$D14,IF(AK$2&gt;AK$257,0,IF($C14=AK$2,"PAGAR"&amp;" "&amp;TEXT($B14," #.##0,00"),0)))</f>
        <v>0</v>
      </c>
      <c r="AL14" s="111">
        <f>+IF(AL$2=$E14,$D14,IF(AL$2&gt;AL$257,0,IF($C14=AL$2,"PAGAR"&amp;" "&amp;TEXT($B14," #.##0,00"),0)))</f>
        <v>0</v>
      </c>
      <c r="AM14" s="111">
        <f>+IF(AM$2=$E14,$D14,IF(AM$2&gt;AM$257,0,IF($C14=AM$2,"PAGAR"&amp;" "&amp;TEXT($B14," #.##0,00"),0)))</f>
        <v>0</v>
      </c>
      <c r="AN14" s="111">
        <f t="shared" ca="1" si="3"/>
        <v>0</v>
      </c>
      <c r="AO14" s="287">
        <f t="shared" si="4"/>
        <v>0</v>
      </c>
      <c r="AQ14" s="233"/>
      <c r="AR14" s="231"/>
      <c r="AS14" s="235"/>
      <c r="AT14" s="228"/>
      <c r="AU14" s="235"/>
      <c r="AV14" s="228"/>
      <c r="AW14" s="235"/>
      <c r="AX14" s="228"/>
      <c r="AY14" s="235"/>
      <c r="AZ14" s="228"/>
      <c r="BA14" s="235"/>
      <c r="BB14" s="228"/>
      <c r="BC14" s="235"/>
      <c r="BD14" s="229"/>
    </row>
    <row r="15" spans="1:56" ht="18.75" x14ac:dyDescent="0.3">
      <c r="A15" s="212" t="s">
        <v>141</v>
      </c>
      <c r="B15" s="90">
        <v>29.9</v>
      </c>
      <c r="C15" s="91">
        <v>28</v>
      </c>
      <c r="D15" s="97"/>
      <c r="E15" s="166"/>
      <c r="F15" s="84">
        <f ca="1">+IF(TODAY()&lt;DATEVALUE(1&amp;D$1&amp;E$1),0,IF(C15&gt;0,IF(C15-SUM(I$255:AM$255)&lt;0,B15-SUM(I15:AM15,0),0),0))+IF(C15=-1,B15-SUM(J15:AM15))</f>
        <v>0</v>
      </c>
      <c r="G15" s="210">
        <f t="shared" si="5"/>
        <v>0</v>
      </c>
      <c r="H15" s="14"/>
      <c r="I15" s="111">
        <f>IF(I$2=$E15,$D15,IF(I$2&gt;I$257,0,IF($C15=I$2,"PAGAR"&amp;" "&amp;TEXT($B15," #.##0,00"),IF($C15=-1,"PAGAR"&amp;" "&amp;TEXT($B15," #.##0,00"),0))))</f>
        <v>0</v>
      </c>
      <c r="J15" s="111">
        <f>+IF(J$2=$E15,$D15,IF(J$2&gt;J$257,0,IF($C15=J$2,"PAGAR"&amp;" "&amp;TEXT($B15," #.##0,00"),0)))</f>
        <v>0</v>
      </c>
      <c r="K15" s="111">
        <f>+IF(K$2=$E15,$D15,IF(K$2&gt;K$257,0,IF($C15=K$2,"PAGAR"&amp;" "&amp;TEXT($B15," #.##0,00"),0)))</f>
        <v>0</v>
      </c>
      <c r="L15" s="111">
        <f>+IF(L$2=$E15,$D15,IF(L$2&gt;L$257,0,IF($C15=L$2,"PAGAR"&amp;" "&amp;TEXT($B15," #.##0,00"),0)))</f>
        <v>0</v>
      </c>
      <c r="M15" s="111">
        <f>+IF(M$2=$E15,$D15,IF(M$2&gt;M$257,0,IF($C15=M$2,"PAGAR"&amp;" "&amp;TEXT($B15," #.##0,00"),0)))</f>
        <v>0</v>
      </c>
      <c r="N15" s="111">
        <f>+IF(N$2=$E15,$D15,IF(N$2&gt;N$257,0,IF($C15=N$2,"PAGAR"&amp;" "&amp;TEXT($B15," #.##0,00"),0)))</f>
        <v>0</v>
      </c>
      <c r="O15" s="111">
        <f>+IF(O$2=$E15,$D15,IF(O$2&gt;O$257,0,IF($C15=O$2,"PAGAR"&amp;" "&amp;TEXT($B15," #.##0,00"),0)))</f>
        <v>0</v>
      </c>
      <c r="P15" s="111">
        <f>+IF(P$2=$E15,$D15,IF(P$2&gt;P$257,0,IF($C15=P$2,"PAGAR"&amp;" "&amp;TEXT($B15," #.##0,00"),0)))</f>
        <v>0</v>
      </c>
      <c r="Q15" s="111">
        <f>+IF(Q$2=$E15,$D15,IF(Q$2&gt;Q$257,0,IF($C15=Q$2,"PAGAR"&amp;" "&amp;TEXT($B15," #.##0,00"),0)))</f>
        <v>0</v>
      </c>
      <c r="R15" s="111">
        <f>+IF(R$2=$E15,$D15,IF(R$2&gt;R$257,0,IF($C15=R$2,"PAGAR"&amp;" "&amp;TEXT($B15," #.##0,00"),0)))</f>
        <v>0</v>
      </c>
      <c r="S15" s="111">
        <f>+IF(S$2=$E15,$D15,IF(S$2&gt;S$257,0,IF($C15=S$2,"PAGAR"&amp;" "&amp;TEXT($B15," #.##0,00"),0)))</f>
        <v>0</v>
      </c>
      <c r="T15" s="111">
        <f>+IF(T$2=$E15,$D15,IF(T$2&gt;T$257,0,IF($C15=T$2,"PAGAR"&amp;" "&amp;TEXT($B15," #.##0,00"),0)))</f>
        <v>0</v>
      </c>
      <c r="U15" s="111">
        <f>+IF(U$2=$E15,$D15,IF(U$2&gt;U$257,0,IF($C15=U$2,"PAGAR"&amp;" "&amp;TEXT($B15," #.##0,00"),0)))</f>
        <v>0</v>
      </c>
      <c r="V15" s="111">
        <f>+IF(V$2=$E15,$D15,IF(V$2&gt;V$257,0,IF($C15=V$2,"PAGAR"&amp;" "&amp;TEXT($B15," #.##0,00"),0)))</f>
        <v>0</v>
      </c>
      <c r="W15" s="111">
        <f>+IF(W$2=$E15,$D15,IF(W$2&gt;W$257,0,IF($C15=W$2,"PAGAR"&amp;" "&amp;TEXT($B15," #.##0,00"),0)))</f>
        <v>0</v>
      </c>
      <c r="X15" s="111">
        <f>+IF(X$2=$E15,$D15,IF(X$2&gt;X$257,0,IF($C15=X$2,"PAGAR"&amp;" "&amp;TEXT($B15," #.##0,00"),0)))</f>
        <v>0</v>
      </c>
      <c r="Y15" s="111">
        <f>+IF(Y$2=$E15,$D15,IF(Y$2&gt;Y$257,0,IF($C15=Y$2,"PAGAR"&amp;" "&amp;TEXT($B15," #.##0,00"),0)))</f>
        <v>0</v>
      </c>
      <c r="Z15" s="111">
        <f>+IF(Z$2=$E15,$D15,IF(Z$2&gt;Z$257,0,IF($C15=Z$2,"PAGAR"&amp;" "&amp;TEXT($B15," #.##0,00"),0)))</f>
        <v>0</v>
      </c>
      <c r="AA15" s="111">
        <f>+IF(AA$2=$E15,$D15,IF(AA$2&gt;AA$257,0,IF($C15=AA$2,"PAGAR"&amp;" "&amp;TEXT($B15," #.##0,00"),0)))</f>
        <v>0</v>
      </c>
      <c r="AB15" s="111">
        <f>+IF(AB$2=$E15,$D15,IF(AB$2&gt;AB$257,0,IF($C15=AB$2,"PAGAR"&amp;" "&amp;TEXT($B15," #.##0,00"),0)))</f>
        <v>0</v>
      </c>
      <c r="AC15" s="111">
        <f>+IF(AC$2=$E15,$D15,IF(AC$2&gt;AC$257,0,IF($C15=AC$2,"PAGAR"&amp;" "&amp;TEXT($B15," #.##0,00"),0)))</f>
        <v>0</v>
      </c>
      <c r="AD15" s="111">
        <f>+IF(AD$2=$E15,$D15,IF(AD$2&gt;AD$257,0,IF($C15=AD$2,"PAGAR"&amp;" "&amp;TEXT($B15," #.##0,00"),0)))</f>
        <v>0</v>
      </c>
      <c r="AE15" s="111">
        <f>+IF(AE$2=$E15,$D15,IF(AE$2&gt;AE$257,0,IF($C15=AE$2,"PAGAR"&amp;" "&amp;TEXT($B15," #.##0,00"),0)))</f>
        <v>0</v>
      </c>
      <c r="AF15" s="111">
        <f>+IF(AF$2=$E15,$D15,IF(AF$2&gt;AF$257,0,IF($C15=AF$2,"PAGAR"&amp;" "&amp;TEXT($B15," #.##0,00"),0)))</f>
        <v>0</v>
      </c>
      <c r="AG15" s="111">
        <f>+IF(AG$2=$E15,$D15,IF(AG$2&gt;AG$257,0,IF($C15=AG$2,"PAGAR"&amp;" "&amp;TEXT($B15," #.##0,00"),0)))</f>
        <v>0</v>
      </c>
      <c r="AH15" s="111">
        <f>+IF(AH$2=$E15,$D15,IF(AH$2&gt;AH$257,0,IF($C15=AH$2,"PAGAR"&amp;" "&amp;TEXT($B15," #.##0,00"),0)))</f>
        <v>0</v>
      </c>
      <c r="AI15" s="111">
        <f>+IF(AI$2=$E15,$D15,IF(AI$2&gt;AI$257,0,IF($C15=AI$2,"PAGAR"&amp;" "&amp;TEXT($B15," #.##0,00"),0)))</f>
        <v>0</v>
      </c>
      <c r="AJ15" s="111" t="str">
        <f>+IF(AJ$2=$E15,$D15,IF(AJ$2&gt;AJ$257,0,IF($C15=AJ$2,"PAGAR"&amp;" "&amp;TEXT($B15," #.##0,00"),0)))</f>
        <v>PAGAR  29,90</v>
      </c>
      <c r="AK15" s="111">
        <f>+IF(AK$2=$E15,$D15,IF(AK$2&gt;AK$257,0,IF($C15=AK$2,"PAGAR"&amp;" "&amp;TEXT($B15," #.##0,00"),0)))</f>
        <v>0</v>
      </c>
      <c r="AL15" s="111">
        <f>+IF(AL$2=$E15,$D15,IF(AL$2&gt;AL$257,0,IF($C15=AL$2,"PAGAR"&amp;" "&amp;TEXT($B15," #.##0,00"),0)))</f>
        <v>0</v>
      </c>
      <c r="AM15" s="111">
        <f>+IF(AM$2=$E15,$D15,IF(AM$2&gt;AM$257,0,IF($C15=AM$2,"PAGAR"&amp;" "&amp;TEXT($B15," #.##0,00"),0)))</f>
        <v>0</v>
      </c>
      <c r="AN15" s="111">
        <f t="shared" ca="1" si="3"/>
        <v>0</v>
      </c>
      <c r="AO15" s="287">
        <f t="shared" si="4"/>
        <v>0</v>
      </c>
      <c r="AQ15" s="302">
        <f>+P2</f>
        <v>8</v>
      </c>
      <c r="AR15" s="303"/>
      <c r="AS15" s="304">
        <f>+Q2</f>
        <v>9</v>
      </c>
      <c r="AT15" s="305"/>
      <c r="AU15" s="306">
        <f>+R2</f>
        <v>10</v>
      </c>
      <c r="AV15" s="303"/>
      <c r="AW15" s="304">
        <f>+S2</f>
        <v>11</v>
      </c>
      <c r="AX15" s="305"/>
      <c r="AY15" s="306">
        <f>+T2</f>
        <v>12</v>
      </c>
      <c r="AZ15" s="303"/>
      <c r="BA15" s="304">
        <f>+U2</f>
        <v>13</v>
      </c>
      <c r="BB15" s="305"/>
      <c r="BC15" s="306">
        <f>+V2</f>
        <v>14</v>
      </c>
      <c r="BD15" s="307"/>
    </row>
    <row r="16" spans="1:56" x14ac:dyDescent="0.25">
      <c r="A16" s="212" t="s">
        <v>141</v>
      </c>
      <c r="B16" s="90">
        <v>5.9</v>
      </c>
      <c r="C16" s="91">
        <v>5</v>
      </c>
      <c r="D16" s="97"/>
      <c r="E16" s="166"/>
      <c r="F16" s="84">
        <f ca="1">+IF(TODAY()&lt;DATEVALUE(1&amp;D$1&amp;E$1),0,IF(C16&gt;0,IF(C16-SUM(I$255:AM$255)&lt;0,B16-SUM(I16:AM16,0),0),0))+IF(C16=-1,B16-SUM(J16:AM16))</f>
        <v>5.9</v>
      </c>
      <c r="G16" s="210">
        <f t="shared" si="5"/>
        <v>0</v>
      </c>
      <c r="H16" s="14"/>
      <c r="I16" s="111">
        <f>IF(I$2=$E16,$D16,IF(I$2&gt;I$257,0,IF($C16=I$2,"PAGAR"&amp;" "&amp;TEXT($B16," #.##0,00"),IF($C16=-1,"PAGAR"&amp;" "&amp;TEXT($B16," #.##0,00"),0))))</f>
        <v>0</v>
      </c>
      <c r="J16" s="111">
        <f>+IF(J$2=$E16,$D16,IF(J$2&gt;J$257,0,IF($C16=J$2,"PAGAR"&amp;" "&amp;TEXT($B16," #.##0,00"),0)))</f>
        <v>0</v>
      </c>
      <c r="K16" s="111">
        <f>+IF(K$2=$E16,$D16,IF(K$2&gt;K$257,0,IF($C16=K$2,"PAGAR"&amp;" "&amp;TEXT($B16," #.##0,00"),0)))</f>
        <v>0</v>
      </c>
      <c r="L16" s="111">
        <f>+IF(L$2=$E16,$D16,IF(L$2&gt;L$257,0,IF($C16=L$2,"PAGAR"&amp;" "&amp;TEXT($B16," #.##0,00"),0)))</f>
        <v>0</v>
      </c>
      <c r="M16" s="111" t="str">
        <f>+IF(M$2=$E16,$D16,IF(M$2&gt;M$257,0,IF($C16=M$2,"PAGAR"&amp;" "&amp;TEXT($B16," #.##0,00"),0)))</f>
        <v>PAGAR  5,90</v>
      </c>
      <c r="N16" s="111">
        <f>+IF(N$2=$E16,$D16,IF(N$2&gt;N$257,0,IF($C16=N$2,"PAGAR"&amp;" "&amp;TEXT($B16," #.##0,00"),0)))</f>
        <v>0</v>
      </c>
      <c r="O16" s="111">
        <f>+IF(O$2=$E16,$D16,IF(O$2&gt;O$257,0,IF($C16=O$2,"PAGAR"&amp;" "&amp;TEXT($B16," #.##0,00"),0)))</f>
        <v>0</v>
      </c>
      <c r="P16" s="111">
        <f>+IF(P$2=$E16,$D16,IF(P$2&gt;P$257,0,IF($C16=P$2,"PAGAR"&amp;" "&amp;TEXT($B16," #.##0,00"),0)))</f>
        <v>0</v>
      </c>
      <c r="Q16" s="111">
        <f>+IF(Q$2=$E16,$D16,IF(Q$2&gt;Q$257,0,IF($C16=Q$2,"PAGAR"&amp;" "&amp;TEXT($B16," #.##0,00"),0)))</f>
        <v>0</v>
      </c>
      <c r="R16" s="111">
        <f>+IF(R$2=$E16,$D16,IF(R$2&gt;R$257,0,IF($C16=R$2,"PAGAR"&amp;" "&amp;TEXT($B16," #.##0,00"),0)))</f>
        <v>0</v>
      </c>
      <c r="S16" s="111">
        <f>+IF(S$2=$E16,$D16,IF(S$2&gt;S$257,0,IF($C16=S$2,"PAGAR"&amp;" "&amp;TEXT($B16," #.##0,00"),0)))</f>
        <v>0</v>
      </c>
      <c r="T16" s="111">
        <f>+IF(T$2=$E16,$D16,IF(T$2&gt;T$257,0,IF($C16=T$2,"PAGAR"&amp;" "&amp;TEXT($B16," #.##0,00"),0)))</f>
        <v>0</v>
      </c>
      <c r="U16" s="111">
        <f>+IF(U$2=$E16,$D16,IF(U$2&gt;U$257,0,IF($C16=U$2,"PAGAR"&amp;" "&amp;TEXT($B16," #.##0,00"),0)))</f>
        <v>0</v>
      </c>
      <c r="V16" s="111">
        <f>+IF(V$2=$E16,$D16,IF(V$2&gt;V$257,0,IF($C16=V$2,"PAGAR"&amp;" "&amp;TEXT($B16," #.##0,00"),0)))</f>
        <v>0</v>
      </c>
      <c r="W16" s="111">
        <f>+IF(W$2=$E16,$D16,IF(W$2&gt;W$257,0,IF($C16=W$2,"PAGAR"&amp;" "&amp;TEXT($B16," #.##0,00"),0)))</f>
        <v>0</v>
      </c>
      <c r="X16" s="111">
        <f>+IF(X$2=$E16,$D16,IF(X$2&gt;X$257,0,IF($C16=X$2,"PAGAR"&amp;" "&amp;TEXT($B16," #.##0,00"),0)))</f>
        <v>0</v>
      </c>
      <c r="Y16" s="111">
        <f>+IF(Y$2=$E16,$D16,IF(Y$2&gt;Y$257,0,IF($C16=Y$2,"PAGAR"&amp;" "&amp;TEXT($B16," #.##0,00"),0)))</f>
        <v>0</v>
      </c>
      <c r="Z16" s="111">
        <f>+IF(Z$2=$E16,$D16,IF(Z$2&gt;Z$257,0,IF($C16=Z$2,"PAGAR"&amp;" "&amp;TEXT($B16," #.##0,00"),0)))</f>
        <v>0</v>
      </c>
      <c r="AA16" s="111">
        <f>+IF(AA$2=$E16,$D16,IF(AA$2&gt;AA$257,0,IF($C16=AA$2,"PAGAR"&amp;" "&amp;TEXT($B16," #.##0,00"),0)))</f>
        <v>0</v>
      </c>
      <c r="AB16" s="111">
        <f>+IF(AB$2=$E16,$D16,IF(AB$2&gt;AB$257,0,IF($C16=AB$2,"PAGAR"&amp;" "&amp;TEXT($B16," #.##0,00"),0)))</f>
        <v>0</v>
      </c>
      <c r="AC16" s="111">
        <f>+IF(AC$2=$E16,$D16,IF(AC$2&gt;AC$257,0,IF($C16=AC$2,"PAGAR"&amp;" "&amp;TEXT($B16," #.##0,00"),0)))</f>
        <v>0</v>
      </c>
      <c r="AD16" s="111">
        <f>+IF(AD$2=$E16,$D16,IF(AD$2&gt;AD$257,0,IF($C16=AD$2,"PAGAR"&amp;" "&amp;TEXT($B16," #.##0,00"),0)))</f>
        <v>0</v>
      </c>
      <c r="AE16" s="111">
        <f>+IF(AE$2=$E16,$D16,IF(AE$2&gt;AE$257,0,IF($C16=AE$2,"PAGAR"&amp;" "&amp;TEXT($B16," #.##0,00"),0)))</f>
        <v>0</v>
      </c>
      <c r="AF16" s="111">
        <f>+IF(AF$2=$E16,$D16,IF(AF$2&gt;AF$257,0,IF($C16=AF$2,"PAGAR"&amp;" "&amp;TEXT($B16," #.##0,00"),0)))</f>
        <v>0</v>
      </c>
      <c r="AG16" s="111">
        <f>+IF(AG$2=$E16,$D16,IF(AG$2&gt;AG$257,0,IF($C16=AG$2,"PAGAR"&amp;" "&amp;TEXT($B16," #.##0,00"),0)))</f>
        <v>0</v>
      </c>
      <c r="AH16" s="111">
        <f>+IF(AH$2=$E16,$D16,IF(AH$2&gt;AH$257,0,IF($C16=AH$2,"PAGAR"&amp;" "&amp;TEXT($B16," #.##0,00"),0)))</f>
        <v>0</v>
      </c>
      <c r="AI16" s="111">
        <f>+IF(AI$2=$E16,$D16,IF(AI$2&gt;AI$257,0,IF($C16=AI$2,"PAGAR"&amp;" "&amp;TEXT($B16," #.##0,00"),0)))</f>
        <v>0</v>
      </c>
      <c r="AJ16" s="111">
        <f>+IF(AJ$2=$E16,$D16,IF(AJ$2&gt;AJ$257,0,IF($C16=AJ$2,"PAGAR"&amp;" "&amp;TEXT($B16," #.##0,00"),0)))</f>
        <v>0</v>
      </c>
      <c r="AK16" s="111">
        <f>+IF(AK$2=$E16,$D16,IF(AK$2&gt;AK$257,0,IF($C16=AK$2,"PAGAR"&amp;" "&amp;TEXT($B16," #.##0,00"),0)))</f>
        <v>0</v>
      </c>
      <c r="AL16" s="111">
        <f>+IF(AL$2=$E16,$D16,IF(AL$2&gt;AL$257,0,IF($C16=AL$2,"PAGAR"&amp;" "&amp;TEXT($B16," #.##0,00"),0)))</f>
        <v>0</v>
      </c>
      <c r="AM16" s="111">
        <f>+IF(AM$2=$E16,$D16,IF(AM$2&gt;AM$257,0,IF($C16=AM$2,"PAGAR"&amp;" "&amp;TEXT($B16," #.##0,00"),0)))</f>
        <v>0</v>
      </c>
      <c r="AN16" s="111">
        <f t="shared" ca="1" si="3"/>
        <v>0</v>
      </c>
      <c r="AO16" s="287">
        <f t="shared" si="4"/>
        <v>0</v>
      </c>
      <c r="AQ16" s="232" t="str" cm="1">
        <f t="array" ref="AQ16">_xlfn._xlws.FILTER($A5:$A152,$C5:$C152=AQ15,"livre")</f>
        <v>5asec (22/22 parcelas)</v>
      </c>
      <c r="AR16" s="230" cm="1">
        <f t="array" ref="AR16">_xlfn._xlws.FILTER($B5:$B152,$C5:$C152=AQ15,"livre")</f>
        <v>10606.05</v>
      </c>
      <c r="AS16" s="234" t="str" cm="1">
        <f t="array" ref="AS16:AS17">_xlfn._xlws.FILTER($A5:$A152,$C5:$C152=AS15,"livre")</f>
        <v>ACGDES Barão</v>
      </c>
      <c r="AT16" s="225" cm="1">
        <f t="array" ref="AT16:AT17">_xlfn._xlws.FILTER($B5:$B152,$C5:$C152=AS15,"livre")</f>
        <v>931.52</v>
      </c>
      <c r="AU16" s="234" t="str" cm="1">
        <f t="array" ref="AU16:AU17">_xlfn._xlws.FILTER($A5:$A152,$C5:$C152=AU15,"livre")</f>
        <v>Condomínio Reserva (Nelson58@)</v>
      </c>
      <c r="AV16" s="225" cm="1">
        <f t="array" ref="AV16:AV17">_xlfn._xlws.FILTER($B5:$B152,$C5:$C152=AU15,"livre")</f>
        <v>1504.62</v>
      </c>
      <c r="AW16" s="234" t="str" cm="1">
        <f t="array" ref="AW16:AW18">_xlfn._xlws.FILTER($A5:$A152,$C5:$C152=AW15,"livre")</f>
        <v>Escritório Aluguel</v>
      </c>
      <c r="AX16" s="225" cm="1">
        <f t="array" ref="AX16:AX18">_xlfn._xlws.FILTER($B5:$B152,$C5:$C152=AW15,"livre")</f>
        <v>2945.42</v>
      </c>
      <c r="AY16" s="234" t="str" cm="1">
        <f t="array" ref="AY16:AY17">_xlfn._xlws.FILTER($A5:$A152,$C5:$C152=AY15,"livre")</f>
        <v>CPFL Reserva</v>
      </c>
      <c r="AZ16" s="226" cm="1">
        <f t="array" ref="AZ16:AZ17">_xlfn._xlws.FILTER($B5:$B152,$C5:$C152=AY15,"livre")</f>
        <v>159.63999999999999</v>
      </c>
      <c r="BA16" s="236" t="str" cm="1">
        <f t="array" ref="BA16:BA17">_xlfn._xlws.FILTER($A5:$A152,$C5:$C152=BA15,"livre")</f>
        <v>ACGDES Sunset</v>
      </c>
      <c r="BB16" s="226" cm="1">
        <f t="array" ref="BB16:BB17">_xlfn._xlws.FILTER($B5:$B152,$C5:$C152=BA15,"livre")</f>
        <v>2221.7399999999998</v>
      </c>
      <c r="BC16" s="236" t="str" cm="1">
        <f t="array" ref="BC16">_xlfn._xlws.FILTER($A5:$A152,$C5:$C152=BC15,"livre")</f>
        <v>livre</v>
      </c>
      <c r="BD16" s="227" t="str" cm="1">
        <f t="array" ref="BD16">_xlfn._xlws.FILTER($B5:$B152,$C5:$C152=BC15,"livre")</f>
        <v>livre</v>
      </c>
    </row>
    <row r="17" spans="1:64" x14ac:dyDescent="0.25">
      <c r="A17" s="212" t="s">
        <v>142</v>
      </c>
      <c r="B17" s="90">
        <v>22.99</v>
      </c>
      <c r="C17" s="91">
        <v>4</v>
      </c>
      <c r="D17" s="97"/>
      <c r="E17" s="166"/>
      <c r="F17" s="84">
        <f ca="1">+IF(TODAY()&lt;DATEVALUE(1&amp;D$1&amp;E$1),0,IF(C17&gt;0,IF(C17-SUM(I$255:AM$255)&lt;0,B17-SUM(I17:AM17,0),0),0))+IF(C17=-1,B17-SUM(J17:AM17))</f>
        <v>22.99</v>
      </c>
      <c r="G17" s="210">
        <f t="shared" si="5"/>
        <v>0</v>
      </c>
      <c r="H17" s="14"/>
      <c r="I17" s="111">
        <f>IF(I$2=$E17,$D17,IF(I$2&gt;I$257,0,IF($C17=I$2,"PAGAR"&amp;" "&amp;TEXT($B17," #.##0,00"),IF($C17=-1,"PAGAR"&amp;" "&amp;TEXT($B17," #.##0,00"),0))))</f>
        <v>0</v>
      </c>
      <c r="J17" s="111">
        <f>+IF(J$2=$E17,$D17,IF(J$2&gt;J$257,0,IF($C17=J$2,"PAGAR"&amp;" "&amp;TEXT($B17," #.##0,00"),0)))</f>
        <v>0</v>
      </c>
      <c r="K17" s="111">
        <f>+IF(K$2=$E17,$D17,IF(K$2&gt;K$257,0,IF($C17=K$2,"PAGAR"&amp;" "&amp;TEXT($B17," #.##0,00"),0)))</f>
        <v>0</v>
      </c>
      <c r="L17" s="111" t="str">
        <f>+IF(L$2=$E17,$D17,IF(L$2&gt;L$257,0,IF($C17=L$2,"PAGAR"&amp;" "&amp;TEXT($B17," #.##0,00"),0)))</f>
        <v>PAGAR  22,99</v>
      </c>
      <c r="M17" s="111">
        <f>+IF(M$2=$E17,$D17,IF(M$2&gt;M$257,0,IF($C17=M$2,"PAGAR"&amp;" "&amp;TEXT($B17," #.##0,00"),0)))</f>
        <v>0</v>
      </c>
      <c r="N17" s="111">
        <f>+IF(N$2=$E17,$D17,IF(N$2&gt;N$257,0,IF($C17=N$2,"PAGAR"&amp;" "&amp;TEXT($B17," #.##0,00"),0)))</f>
        <v>0</v>
      </c>
      <c r="O17" s="111">
        <f>+IF(O$2=$E17,$D17,IF(O$2&gt;O$257,0,IF($C17=O$2,"PAGAR"&amp;" "&amp;TEXT($B17," #.##0,00"),0)))</f>
        <v>0</v>
      </c>
      <c r="P17" s="111">
        <f>+IF(P$2=$E17,$D17,IF(P$2&gt;P$257,0,IF($C17=P$2,"PAGAR"&amp;" "&amp;TEXT($B17," #.##0,00"),0)))</f>
        <v>0</v>
      </c>
      <c r="Q17" s="111">
        <f>+IF(Q$2=$E17,$D17,IF(Q$2&gt;Q$257,0,IF($C17=Q$2,"PAGAR"&amp;" "&amp;TEXT($B17," #.##0,00"),0)))</f>
        <v>0</v>
      </c>
      <c r="R17" s="111">
        <f>+IF(R$2=$E17,$D17,IF(R$2&gt;R$257,0,IF($C17=R$2,"PAGAR"&amp;" "&amp;TEXT($B17," #.##0,00"),0)))</f>
        <v>0</v>
      </c>
      <c r="S17" s="111">
        <f>+IF(S$2=$E17,$D17,IF(S$2&gt;S$257,0,IF($C17=S$2,"PAGAR"&amp;" "&amp;TEXT($B17," #.##0,00"),0)))</f>
        <v>0</v>
      </c>
      <c r="T17" s="111">
        <f>+IF(T$2=$E17,$D17,IF(T$2&gt;T$257,0,IF($C17=T$2,"PAGAR"&amp;" "&amp;TEXT($B17," #.##0,00"),0)))</f>
        <v>0</v>
      </c>
      <c r="U17" s="111">
        <f>+IF(U$2=$E17,$D17,IF(U$2&gt;U$257,0,IF($C17=U$2,"PAGAR"&amp;" "&amp;TEXT($B17," #.##0,00"),0)))</f>
        <v>0</v>
      </c>
      <c r="V17" s="111">
        <f>+IF(V$2=$E17,$D17,IF(V$2&gt;V$257,0,IF($C17=V$2,"PAGAR"&amp;" "&amp;TEXT($B17," #.##0,00"),0)))</f>
        <v>0</v>
      </c>
      <c r="W17" s="111">
        <f>+IF(W$2=$E17,$D17,IF(W$2&gt;W$257,0,IF($C17=W$2,"PAGAR"&amp;" "&amp;TEXT($B17," #.##0,00"),0)))</f>
        <v>0</v>
      </c>
      <c r="X17" s="111">
        <f>+IF(X$2=$E17,$D17,IF(X$2&gt;X$257,0,IF($C17=X$2,"PAGAR"&amp;" "&amp;TEXT($B17," #.##0,00"),0)))</f>
        <v>0</v>
      </c>
      <c r="Y17" s="111">
        <f>+IF(Y$2=$E17,$D17,IF(Y$2&gt;Y$257,0,IF($C17=Y$2,"PAGAR"&amp;" "&amp;TEXT($B17," #.##0,00"),0)))</f>
        <v>0</v>
      </c>
      <c r="Z17" s="111">
        <f>+IF(Z$2=$E17,$D17,IF(Z$2&gt;Z$257,0,IF($C17=Z$2,"PAGAR"&amp;" "&amp;TEXT($B17," #.##0,00"),0)))</f>
        <v>0</v>
      </c>
      <c r="AA17" s="111">
        <f>+IF(AA$2=$E17,$D17,IF(AA$2&gt;AA$257,0,IF($C17=AA$2,"PAGAR"&amp;" "&amp;TEXT($B17," #.##0,00"),0)))</f>
        <v>0</v>
      </c>
      <c r="AB17" s="111">
        <f>+IF(AB$2=$E17,$D17,IF(AB$2&gt;AB$257,0,IF($C17=AB$2,"PAGAR"&amp;" "&amp;TEXT($B17," #.##0,00"),0)))</f>
        <v>0</v>
      </c>
      <c r="AC17" s="111">
        <f>+IF(AC$2=$E17,$D17,IF(AC$2&gt;AC$257,0,IF($C17=AC$2,"PAGAR"&amp;" "&amp;TEXT($B17," #.##0,00"),0)))</f>
        <v>0</v>
      </c>
      <c r="AD17" s="111">
        <f>+IF(AD$2=$E17,$D17,IF(AD$2&gt;AD$257,0,IF($C17=AD$2,"PAGAR"&amp;" "&amp;TEXT($B17," #.##0,00"),0)))</f>
        <v>0</v>
      </c>
      <c r="AE17" s="111">
        <f>+IF(AE$2=$E17,$D17,IF(AE$2&gt;AE$257,0,IF($C17=AE$2,"PAGAR"&amp;" "&amp;TEXT($B17," #.##0,00"),0)))</f>
        <v>0</v>
      </c>
      <c r="AF17" s="111">
        <f>+IF(AF$2=$E17,$D17,IF(AF$2&gt;AF$257,0,IF($C17=AF$2,"PAGAR"&amp;" "&amp;TEXT($B17," #.##0,00"),0)))</f>
        <v>0</v>
      </c>
      <c r="AG17" s="111">
        <f>+IF(AG$2=$E17,$D17,IF(AG$2&gt;AG$257,0,IF($C17=AG$2,"PAGAR"&amp;" "&amp;TEXT($B17," #.##0,00"),0)))</f>
        <v>0</v>
      </c>
      <c r="AH17" s="111">
        <f>+IF(AH$2=$E17,$D17,IF(AH$2&gt;AH$257,0,IF($C17=AH$2,"PAGAR"&amp;" "&amp;TEXT($B17," #.##0,00"),0)))</f>
        <v>0</v>
      </c>
      <c r="AI17" s="111">
        <f>+IF(AI$2=$E17,$D17,IF(AI$2&gt;AI$257,0,IF($C17=AI$2,"PAGAR"&amp;" "&amp;TEXT($B17," #.##0,00"),0)))</f>
        <v>0</v>
      </c>
      <c r="AJ17" s="111">
        <f>+IF(AJ$2=$E17,$D17,IF(AJ$2&gt;AJ$257,0,IF($C17=AJ$2,"PAGAR"&amp;" "&amp;TEXT($B17," #.##0,00"),0)))</f>
        <v>0</v>
      </c>
      <c r="AK17" s="111">
        <f>+IF(AK$2=$E17,$D17,IF(AK$2&gt;AK$257,0,IF($C17=AK$2,"PAGAR"&amp;" "&amp;TEXT($B17," #.##0,00"),0)))</f>
        <v>0</v>
      </c>
      <c r="AL17" s="111">
        <f>+IF(AL$2=$E17,$D17,IF(AL$2&gt;AL$257,0,IF($C17=AL$2,"PAGAR"&amp;" "&amp;TEXT($B17," #.##0,00"),0)))</f>
        <v>0</v>
      </c>
      <c r="AM17" s="111">
        <f>+IF(AM$2=$E17,$D17,IF(AM$2&gt;AM$257,0,IF($C17=AM$2,"PAGAR"&amp;" "&amp;TEXT($B17," #.##0,00"),0)))</f>
        <v>0</v>
      </c>
      <c r="AN17" s="111">
        <f t="shared" ca="1" si="3"/>
        <v>0</v>
      </c>
      <c r="AO17" s="287">
        <f t="shared" si="4"/>
        <v>0</v>
      </c>
      <c r="AQ17" s="250"/>
      <c r="AR17" s="251"/>
      <c r="AS17" s="245" t="str">
        <v>CPFL Barão</v>
      </c>
      <c r="AT17" s="246">
        <v>8042.83</v>
      </c>
      <c r="AU17" s="245" t="str">
        <v>Fernando</v>
      </c>
      <c r="AV17" s="252">
        <v>1081</v>
      </c>
      <c r="AW17" s="245" t="str">
        <v>5asec advogados (22/22parcelas)</v>
      </c>
      <c r="AX17" s="246">
        <v>3030.3</v>
      </c>
      <c r="AY17" s="245" t="str">
        <v>Frees + R$400 Josiane</v>
      </c>
      <c r="AZ17" s="247">
        <v>6900</v>
      </c>
      <c r="BA17" s="248" t="str">
        <v xml:space="preserve">CPFL Sunset </v>
      </c>
      <c r="BB17" s="247">
        <v>596.70000000000005</v>
      </c>
      <c r="BC17" s="248"/>
      <c r="BD17" s="249"/>
    </row>
    <row r="18" spans="1:64" x14ac:dyDescent="0.25">
      <c r="A18" s="212" t="s">
        <v>143</v>
      </c>
      <c r="B18" s="90">
        <v>60</v>
      </c>
      <c r="C18" s="91">
        <v>3</v>
      </c>
      <c r="D18" s="97"/>
      <c r="E18" s="166"/>
      <c r="F18" s="84">
        <f ca="1">+IF(TODAY()&lt;DATEVALUE(1&amp;D$1&amp;E$1),0,IF(C18&gt;0,IF(C18-SUM(I$255:AM$255)&lt;0,B18-SUM(I18:AM18,0),0),0))+IF(C18=-1,B18-SUM(J18:AM18))</f>
        <v>60</v>
      </c>
      <c r="G18" s="210">
        <f t="shared" si="5"/>
        <v>0</v>
      </c>
      <c r="H18" s="14"/>
      <c r="I18" s="111">
        <f>IF(I$2=$E18,$D18,IF(I$2&gt;I$257,0,IF($C18=I$2,"PAGAR"&amp;" "&amp;TEXT($B18," #.##0,00"),IF($C18=-1,"PAGAR"&amp;" "&amp;TEXT($B18," #.##0,00"),0))))</f>
        <v>0</v>
      </c>
      <c r="J18" s="111">
        <f>+IF(J$2=$E18,$D18,IF(J$2&gt;J$257,0,IF($C18=J$2,"PAGAR"&amp;" "&amp;TEXT($B18," #.##0,00"),0)))</f>
        <v>0</v>
      </c>
      <c r="K18" s="111" t="str">
        <f>+IF(K$2=$E18,$D18,IF(K$2&gt;K$257,0,IF($C18=K$2,"PAGAR"&amp;" "&amp;TEXT($B18," #.##0,00"),0)))</f>
        <v>PAGAR  60,00</v>
      </c>
      <c r="L18" s="111">
        <f>+IF(L$2=$E18,$D18,IF(L$2&gt;L$257,0,IF($C18=L$2,"PAGAR"&amp;" "&amp;TEXT($B18," #.##0,00"),0)))</f>
        <v>0</v>
      </c>
      <c r="M18" s="111">
        <f>+IF(M$2=$E18,$D18,IF(M$2&gt;M$257,0,IF($C18=M$2,"PAGAR"&amp;" "&amp;TEXT($B18," #.##0,00"),0)))</f>
        <v>0</v>
      </c>
      <c r="N18" s="111">
        <f>+IF(N$2=$E18,$D18,IF(N$2&gt;N$257,0,IF($C18=N$2,"PAGAR"&amp;" "&amp;TEXT($B18," #.##0,00"),0)))</f>
        <v>0</v>
      </c>
      <c r="O18" s="111">
        <f>+IF(O$2=$E18,$D18,IF(O$2&gt;O$257,0,IF($C18=O$2,"PAGAR"&amp;" "&amp;TEXT($B18," #.##0,00"),0)))</f>
        <v>0</v>
      </c>
      <c r="P18" s="111">
        <f>+IF(P$2=$E18,$D18,IF(P$2&gt;P$257,0,IF($C18=P$2,"PAGAR"&amp;" "&amp;TEXT($B18," #.##0,00"),0)))</f>
        <v>0</v>
      </c>
      <c r="Q18" s="111">
        <f>+IF(Q$2=$E18,$D18,IF(Q$2&gt;Q$257,0,IF($C18=Q$2,"PAGAR"&amp;" "&amp;TEXT($B18," #.##0,00"),0)))</f>
        <v>0</v>
      </c>
      <c r="R18" s="111">
        <f>+IF(R$2=$E18,$D18,IF(R$2&gt;R$257,0,IF($C18=R$2,"PAGAR"&amp;" "&amp;TEXT($B18," #.##0,00"),0)))</f>
        <v>0</v>
      </c>
      <c r="S18" s="111">
        <f>+IF(S$2=$E18,$D18,IF(S$2&gt;S$257,0,IF($C18=S$2,"PAGAR"&amp;" "&amp;TEXT($B18," #.##0,00"),0)))</f>
        <v>0</v>
      </c>
      <c r="T18" s="111">
        <f>+IF(T$2=$E18,$D18,IF(T$2&gt;T$257,0,IF($C18=T$2,"PAGAR"&amp;" "&amp;TEXT($B18," #.##0,00"),0)))</f>
        <v>0</v>
      </c>
      <c r="U18" s="111">
        <f>+IF(U$2=$E18,$D18,IF(U$2&gt;U$257,0,IF($C18=U$2,"PAGAR"&amp;" "&amp;TEXT($B18," #.##0,00"),0)))</f>
        <v>0</v>
      </c>
      <c r="V18" s="111">
        <f>+IF(V$2=$E18,$D18,IF(V$2&gt;V$257,0,IF($C18=V$2,"PAGAR"&amp;" "&amp;TEXT($B18," #.##0,00"),0)))</f>
        <v>0</v>
      </c>
      <c r="W18" s="111">
        <f>+IF(W$2=$E18,$D18,IF(W$2&gt;W$257,0,IF($C18=W$2,"PAGAR"&amp;" "&amp;TEXT($B18," #.##0,00"),0)))</f>
        <v>0</v>
      </c>
      <c r="X18" s="111">
        <f>+IF(X$2=$E18,$D18,IF(X$2&gt;X$257,0,IF($C18=X$2,"PAGAR"&amp;" "&amp;TEXT($B18," #.##0,00"),0)))</f>
        <v>0</v>
      </c>
      <c r="Y18" s="111">
        <f>+IF(Y$2=$E18,$D18,IF(Y$2&gt;Y$257,0,IF($C18=Y$2,"PAGAR"&amp;" "&amp;TEXT($B18," #.##0,00"),0)))</f>
        <v>0</v>
      </c>
      <c r="Z18" s="111">
        <f>+IF(Z$2=$E18,$D18,IF(Z$2&gt;Z$257,0,IF($C18=Z$2,"PAGAR"&amp;" "&amp;TEXT($B18," #.##0,00"),0)))</f>
        <v>0</v>
      </c>
      <c r="AA18" s="111">
        <f>+IF(AA$2=$E18,$D18,IF(AA$2&gt;AA$257,0,IF($C18=AA$2,"PAGAR"&amp;" "&amp;TEXT($B18," #.##0,00"),0)))</f>
        <v>0</v>
      </c>
      <c r="AB18" s="111">
        <f>+IF(AB$2=$E18,$D18,IF(AB$2&gt;AB$257,0,IF($C18=AB$2,"PAGAR"&amp;" "&amp;TEXT($B18," #.##0,00"),0)))</f>
        <v>0</v>
      </c>
      <c r="AC18" s="111">
        <f>+IF(AC$2=$E18,$D18,IF(AC$2&gt;AC$257,0,IF($C18=AC$2,"PAGAR"&amp;" "&amp;TEXT($B18," #.##0,00"),0)))</f>
        <v>0</v>
      </c>
      <c r="AD18" s="111">
        <f>+IF(AD$2=$E18,$D18,IF(AD$2&gt;AD$257,0,IF($C18=AD$2,"PAGAR"&amp;" "&amp;TEXT($B18," #.##0,00"),0)))</f>
        <v>0</v>
      </c>
      <c r="AE18" s="111">
        <f>+IF(AE$2=$E18,$D18,IF(AE$2&gt;AE$257,0,IF($C18=AE$2,"PAGAR"&amp;" "&amp;TEXT($B18," #.##0,00"),0)))</f>
        <v>0</v>
      </c>
      <c r="AF18" s="111">
        <f>+IF(AF$2=$E18,$D18,IF(AF$2&gt;AF$257,0,IF($C18=AF$2,"PAGAR"&amp;" "&amp;TEXT($B18," #.##0,00"),0)))</f>
        <v>0</v>
      </c>
      <c r="AG18" s="111">
        <f>+IF(AG$2=$E18,$D18,IF(AG$2&gt;AG$257,0,IF($C18=AG$2,"PAGAR"&amp;" "&amp;TEXT($B18," #.##0,00"),0)))</f>
        <v>0</v>
      </c>
      <c r="AH18" s="111">
        <f>+IF(AH$2=$E18,$D18,IF(AH$2&gt;AH$257,0,IF($C18=AH$2,"PAGAR"&amp;" "&amp;TEXT($B18," #.##0,00"),0)))</f>
        <v>0</v>
      </c>
      <c r="AI18" s="111">
        <f>+IF(AI$2=$E18,$D18,IF(AI$2&gt;AI$257,0,IF($C18=AI$2,"PAGAR"&amp;" "&amp;TEXT($B18," #.##0,00"),0)))</f>
        <v>0</v>
      </c>
      <c r="AJ18" s="111">
        <f>+IF(AJ$2=$E18,$D18,IF(AJ$2&gt;AJ$257,0,IF($C18=AJ$2,"PAGAR"&amp;" "&amp;TEXT($B18," #.##0,00"),0)))</f>
        <v>0</v>
      </c>
      <c r="AK18" s="111">
        <f>+IF(AK$2=$E18,$D18,IF(AK$2&gt;AK$257,0,IF($C18=AK$2,"PAGAR"&amp;" "&amp;TEXT($B18," #.##0,00"),0)))</f>
        <v>0</v>
      </c>
      <c r="AL18" s="111">
        <f>+IF(AL$2=$E18,$D18,IF(AL$2&gt;AL$257,0,IF($C18=AL$2,"PAGAR"&amp;" "&amp;TEXT($B18," #.##0,00"),0)))</f>
        <v>0</v>
      </c>
      <c r="AM18" s="111">
        <f>+IF(AM$2=$E18,$D18,IF(AM$2&gt;AM$257,0,IF($C18=AM$2,"PAGAR"&amp;" "&amp;TEXT($B18," #.##0,00"),0)))</f>
        <v>0</v>
      </c>
      <c r="AN18" s="111">
        <f t="shared" ca="1" si="3"/>
        <v>0</v>
      </c>
      <c r="AO18" s="287">
        <f t="shared" si="4"/>
        <v>0</v>
      </c>
      <c r="AQ18" s="232"/>
      <c r="AR18" s="230"/>
      <c r="AS18" s="234"/>
      <c r="AT18" s="225"/>
      <c r="AU18" s="234"/>
      <c r="AV18" s="225"/>
      <c r="AW18" s="234" t="str">
        <v>Sunset Aluguel</v>
      </c>
      <c r="AX18" s="225">
        <v>3624</v>
      </c>
      <c r="AY18" s="234"/>
      <c r="AZ18" s="226"/>
      <c r="BA18" s="236"/>
      <c r="BB18" s="226"/>
      <c r="BC18" s="236"/>
      <c r="BD18" s="227"/>
    </row>
    <row r="19" spans="1:64" x14ac:dyDescent="0.25">
      <c r="A19" s="212"/>
      <c r="B19" s="90"/>
      <c r="C19" s="91"/>
      <c r="D19" s="97"/>
      <c r="E19" s="166"/>
      <c r="F19" s="84">
        <f ca="1">+IF(TODAY()&lt;DATEVALUE(1&amp;D$1&amp;E$1),0,IF(C19&gt;0,IF(C19-SUM(I$255:AM$255)&lt;0,B19-SUM(I19:AM19,0),0),0))+IF(C19=-1,B19-SUM(J19:AM19))</f>
        <v>0</v>
      </c>
      <c r="G19" s="210" t="str">
        <f t="shared" si="5"/>
        <v>-</v>
      </c>
      <c r="H19" s="14"/>
      <c r="I19" s="111">
        <f>IF(I$2=$E19,$D19,IF(I$2&gt;I$257,0,IF($C19=I$2,"PAGAR"&amp;" "&amp;TEXT($B19," #.##0,00"),IF($C19=-1,"PAGAR"&amp;" "&amp;TEXT($B19," #.##0,00"),0))))</f>
        <v>0</v>
      </c>
      <c r="J19" s="111">
        <f>+IF(J$2=$E19,$D19,IF(J$2&gt;J$257,0,IF($C19=J$2,"PAGAR"&amp;" "&amp;TEXT($B19," #.##0,00"),0)))</f>
        <v>0</v>
      </c>
      <c r="K19" s="111">
        <f>+IF(K$2=$E19,$D19,IF(K$2&gt;K$257,0,IF($C19=K$2,"PAGAR"&amp;" "&amp;TEXT($B19," #.##0,00"),0)))</f>
        <v>0</v>
      </c>
      <c r="L19" s="111">
        <f>+IF(L$2=$E19,$D19,IF(L$2&gt;L$257,0,IF($C19=L$2,"PAGAR"&amp;" "&amp;TEXT($B19," #.##0,00"),0)))</f>
        <v>0</v>
      </c>
      <c r="M19" s="111">
        <f>+IF(M$2=$E19,$D19,IF(M$2&gt;M$257,0,IF($C19=M$2,"PAGAR"&amp;" "&amp;TEXT($B19," #.##0,00"),0)))</f>
        <v>0</v>
      </c>
      <c r="N19" s="111">
        <f>+IF(N$2=$E19,$D19,IF(N$2&gt;N$257,0,IF($C19=N$2,"PAGAR"&amp;" "&amp;TEXT($B19," #.##0,00"),0)))</f>
        <v>0</v>
      </c>
      <c r="O19" s="111">
        <f>+IF(O$2=$E19,$D19,IF(O$2&gt;O$257,0,IF($C19=O$2,"PAGAR"&amp;" "&amp;TEXT($B19," #.##0,00"),0)))</f>
        <v>0</v>
      </c>
      <c r="P19" s="111">
        <f>+IF(P$2=$E19,$D19,IF(P$2&gt;P$257,0,IF($C19=P$2,"PAGAR"&amp;" "&amp;TEXT($B19," #.##0,00"),0)))</f>
        <v>0</v>
      </c>
      <c r="Q19" s="111">
        <f>+IF(Q$2=$E19,$D19,IF(Q$2&gt;Q$257,0,IF($C19=Q$2,"PAGAR"&amp;" "&amp;TEXT($B19," #.##0,00"),0)))</f>
        <v>0</v>
      </c>
      <c r="R19" s="111">
        <f>+IF(R$2=$E19,$D19,IF(R$2&gt;R$257,0,IF($C19=R$2,"PAGAR"&amp;" "&amp;TEXT($B19," #.##0,00"),0)))</f>
        <v>0</v>
      </c>
      <c r="S19" s="111">
        <f>+IF(S$2=$E19,$D19,IF(S$2&gt;S$257,0,IF($C19=S$2,"PAGAR"&amp;" "&amp;TEXT($B19," #.##0,00"),0)))</f>
        <v>0</v>
      </c>
      <c r="T19" s="111">
        <f>+IF(T$2=$E19,$D19,IF(T$2&gt;T$257,0,IF($C19=T$2,"PAGAR"&amp;" "&amp;TEXT($B19," #.##0,00"),0)))</f>
        <v>0</v>
      </c>
      <c r="U19" s="111">
        <f>+IF(U$2=$E19,$D19,IF(U$2&gt;U$257,0,IF($C19=U$2,"PAGAR"&amp;" "&amp;TEXT($B19," #.##0,00"),0)))</f>
        <v>0</v>
      </c>
      <c r="V19" s="111">
        <f>+IF(V$2=$E19,$D19,IF(V$2&gt;V$257,0,IF($C19=V$2,"PAGAR"&amp;" "&amp;TEXT($B19," #.##0,00"),0)))</f>
        <v>0</v>
      </c>
      <c r="W19" s="111">
        <f>+IF(W$2=$E19,$D19,IF(W$2&gt;W$257,0,IF($C19=W$2,"PAGAR"&amp;" "&amp;TEXT($B19," #.##0,00"),0)))</f>
        <v>0</v>
      </c>
      <c r="X19" s="111">
        <f>+IF(X$2=$E19,$D19,IF(X$2&gt;X$257,0,IF($C19=X$2,"PAGAR"&amp;" "&amp;TEXT($B19," #.##0,00"),0)))</f>
        <v>0</v>
      </c>
      <c r="Y19" s="111">
        <f>+IF(Y$2=$E19,$D19,IF(Y$2&gt;Y$257,0,IF($C19=Y$2,"PAGAR"&amp;" "&amp;TEXT($B19," #.##0,00"),0)))</f>
        <v>0</v>
      </c>
      <c r="Z19" s="111">
        <f>+IF(Z$2=$E19,$D19,IF(Z$2&gt;Z$257,0,IF($C19=Z$2,"PAGAR"&amp;" "&amp;TEXT($B19," #.##0,00"),0)))</f>
        <v>0</v>
      </c>
      <c r="AA19" s="111">
        <f>+IF(AA$2=$E19,$D19,IF(AA$2&gt;AA$257,0,IF($C19=AA$2,"PAGAR"&amp;" "&amp;TEXT($B19," #.##0,00"),0)))</f>
        <v>0</v>
      </c>
      <c r="AB19" s="111">
        <f>+IF(AB$2=$E19,$D19,IF(AB$2&gt;AB$257,0,IF($C19=AB$2,"PAGAR"&amp;" "&amp;TEXT($B19," #.##0,00"),0)))</f>
        <v>0</v>
      </c>
      <c r="AC19" s="111">
        <f>+IF(AC$2=$E19,$D19,IF(AC$2&gt;AC$257,0,IF($C19=AC$2,"PAGAR"&amp;" "&amp;TEXT($B19," #.##0,00"),0)))</f>
        <v>0</v>
      </c>
      <c r="AD19" s="111">
        <f>+IF(AD$2=$E19,$D19,IF(AD$2&gt;AD$257,0,IF($C19=AD$2,"PAGAR"&amp;" "&amp;TEXT($B19," #.##0,00"),0)))</f>
        <v>0</v>
      </c>
      <c r="AE19" s="111">
        <f>+IF(AE$2=$E19,$D19,IF(AE$2&gt;AE$257,0,IF($C19=AE$2,"PAGAR"&amp;" "&amp;TEXT($B19," #.##0,00"),0)))</f>
        <v>0</v>
      </c>
      <c r="AF19" s="111">
        <f>+IF(AF$2=$E19,$D19,IF(AF$2&gt;AF$257,0,IF($C19=AF$2,"PAGAR"&amp;" "&amp;TEXT($B19," #.##0,00"),0)))</f>
        <v>0</v>
      </c>
      <c r="AG19" s="111">
        <f>+IF(AG$2=$E19,$D19,IF(AG$2&gt;AG$257,0,IF($C19=AG$2,"PAGAR"&amp;" "&amp;TEXT($B19," #.##0,00"),0)))</f>
        <v>0</v>
      </c>
      <c r="AH19" s="111">
        <f>+IF(AH$2=$E19,$D19,IF(AH$2&gt;AH$257,0,IF($C19=AH$2,"PAGAR"&amp;" "&amp;TEXT($B19," #.##0,00"),0)))</f>
        <v>0</v>
      </c>
      <c r="AI19" s="111">
        <f>+IF(AI$2=$E19,$D19,IF(AI$2&gt;AI$257,0,IF($C19=AI$2,"PAGAR"&amp;" "&amp;TEXT($B19," #.##0,00"),0)))</f>
        <v>0</v>
      </c>
      <c r="AJ19" s="111">
        <f>+IF(AJ$2=$E19,$D19,IF(AJ$2&gt;AJ$257,0,IF($C19=AJ$2,"PAGAR"&amp;" "&amp;TEXT($B19," #.##0,00"),0)))</f>
        <v>0</v>
      </c>
      <c r="AK19" s="111">
        <f>+IF(AK$2=$E19,$D19,IF(AK$2&gt;AK$257,0,IF($C19=AK$2,"PAGAR"&amp;" "&amp;TEXT($B19," #.##0,00"),0)))</f>
        <v>0</v>
      </c>
      <c r="AL19" s="111">
        <f>+IF(AL$2=$E19,$D19,IF(AL$2&gt;AL$257,0,IF($C19=AL$2,"PAGAR"&amp;" "&amp;TEXT($B19," #.##0,00"),0)))</f>
        <v>0</v>
      </c>
      <c r="AM19" s="111">
        <f>+IF(AM$2=$E19,$D19,IF(AM$2&gt;AM$257,0,IF($C19=AM$2,"PAGAR"&amp;" "&amp;TEXT($B19," #.##0,00"),0)))</f>
        <v>0</v>
      </c>
      <c r="AN19" s="111">
        <f t="shared" ca="1" si="3"/>
        <v>0</v>
      </c>
      <c r="AO19" s="287">
        <f t="shared" si="4"/>
        <v>0</v>
      </c>
      <c r="AQ19" s="250"/>
      <c r="AR19" s="251"/>
      <c r="AS19" s="245"/>
      <c r="AT19" s="246"/>
      <c r="AU19" s="245"/>
      <c r="AV19" s="252"/>
      <c r="AW19" s="245"/>
      <c r="AX19" s="246"/>
      <c r="AY19" s="245"/>
      <c r="AZ19" s="247"/>
      <c r="BA19" s="248"/>
      <c r="BB19" s="247"/>
      <c r="BC19" s="248"/>
      <c r="BD19" s="249"/>
    </row>
    <row r="20" spans="1:64" x14ac:dyDescent="0.25">
      <c r="A20" s="212"/>
      <c r="B20" s="90"/>
      <c r="C20" s="91"/>
      <c r="D20" s="97"/>
      <c r="E20" s="166"/>
      <c r="F20" s="84">
        <f ca="1">+IF(TODAY()&lt;DATEVALUE(1&amp;D$1&amp;E$1),0,IF(C20&gt;0,IF(C20-SUM(I$255:AM$255)&lt;0,B20-SUM(I20:AM20,0),0),0))+IF(C20=-1,B20-SUM(J20:AM20))</f>
        <v>0</v>
      </c>
      <c r="G20" s="210" t="str">
        <f t="shared" si="5"/>
        <v>-</v>
      </c>
      <c r="H20" s="14"/>
      <c r="I20" s="111">
        <f>IF(I$2=$E20,$D20,IF(I$2&gt;I$257,0,IF($C20=I$2,"PAGAR"&amp;" "&amp;TEXT($B20," #.##0,00"),IF($C20=-1,"PAGAR"&amp;" "&amp;TEXT($B20," #.##0,00"),0))))</f>
        <v>0</v>
      </c>
      <c r="J20" s="111">
        <f>+IF(J$2=$E20,$D20,IF(J$2&gt;J$257,0,IF($C20=J$2,"PAGAR"&amp;" "&amp;TEXT($B20," #.##0,00"),0)))</f>
        <v>0</v>
      </c>
      <c r="K20" s="111">
        <f>+IF(K$2=$E20,$D20,IF(K$2&gt;K$257,0,IF($C20=K$2,"PAGAR"&amp;" "&amp;TEXT($B20," #.##0,00"),0)))</f>
        <v>0</v>
      </c>
      <c r="L20" s="111">
        <f>+IF(L$2=$E20,$D20,IF(L$2&gt;L$257,0,IF($C20=L$2,"PAGAR"&amp;" "&amp;TEXT($B20," #.##0,00"),0)))</f>
        <v>0</v>
      </c>
      <c r="M20" s="111">
        <f>+IF(M$2=$E20,$D20,IF(M$2&gt;M$257,0,IF($C20=M$2,"PAGAR"&amp;" "&amp;TEXT($B20," #.##0,00"),0)))</f>
        <v>0</v>
      </c>
      <c r="N20" s="111">
        <f>+IF(N$2=$E20,$D20,IF(N$2&gt;N$257,0,IF($C20=N$2,"PAGAR"&amp;" "&amp;TEXT($B20," #.##0,00"),0)))</f>
        <v>0</v>
      </c>
      <c r="O20" s="111">
        <f>+IF(O$2=$E20,$D20,IF(O$2&gt;O$257,0,IF($C20=O$2,"PAGAR"&amp;" "&amp;TEXT($B20," #.##0,00"),0)))</f>
        <v>0</v>
      </c>
      <c r="P20" s="111">
        <f>+IF(P$2=$E20,$D20,IF(P$2&gt;P$257,0,IF($C20=P$2,"PAGAR"&amp;" "&amp;TEXT($B20," #.##0,00"),0)))</f>
        <v>0</v>
      </c>
      <c r="Q20" s="111">
        <f>+IF(Q$2=$E20,$D20,IF(Q$2&gt;Q$257,0,IF($C20=Q$2,"PAGAR"&amp;" "&amp;TEXT($B20," #.##0,00"),0)))</f>
        <v>0</v>
      </c>
      <c r="R20" s="111">
        <f>+IF(R$2=$E20,$D20,IF(R$2&gt;R$257,0,IF($C20=R$2,"PAGAR"&amp;" "&amp;TEXT($B20," #.##0,00"),0)))</f>
        <v>0</v>
      </c>
      <c r="S20" s="111">
        <f>+IF(S$2=$E20,$D20,IF(S$2&gt;S$257,0,IF($C20=S$2,"PAGAR"&amp;" "&amp;TEXT($B20," #.##0,00"),0)))</f>
        <v>0</v>
      </c>
      <c r="T20" s="111">
        <f>+IF(T$2=$E20,$D20,IF(T$2&gt;T$257,0,IF($C20=T$2,"PAGAR"&amp;" "&amp;TEXT($B20," #.##0,00"),0)))</f>
        <v>0</v>
      </c>
      <c r="U20" s="111">
        <f>+IF(U$2=$E20,$D20,IF(U$2&gt;U$257,0,IF($C20=U$2,"PAGAR"&amp;" "&amp;TEXT($B20," #.##0,00"),0)))</f>
        <v>0</v>
      </c>
      <c r="V20" s="111">
        <f>+IF(V$2=$E20,$D20,IF(V$2&gt;V$257,0,IF($C20=V$2,"PAGAR"&amp;" "&amp;TEXT($B20," #.##0,00"),0)))</f>
        <v>0</v>
      </c>
      <c r="W20" s="111">
        <f>+IF(W$2=$E20,$D20,IF(W$2&gt;W$257,0,IF($C20=W$2,"PAGAR"&amp;" "&amp;TEXT($B20," #.##0,00"),0)))</f>
        <v>0</v>
      </c>
      <c r="X20" s="111">
        <f>+IF(X$2=$E20,$D20,IF(X$2&gt;X$257,0,IF($C20=X$2,"PAGAR"&amp;" "&amp;TEXT($B20," #.##0,00"),0)))</f>
        <v>0</v>
      </c>
      <c r="Y20" s="111">
        <f>+IF(Y$2=$E20,$D20,IF(Y$2&gt;Y$257,0,IF($C20=Y$2,"PAGAR"&amp;" "&amp;TEXT($B20," #.##0,00"),0)))</f>
        <v>0</v>
      </c>
      <c r="Z20" s="111">
        <f>+IF(Z$2=$E20,$D20,IF(Z$2&gt;Z$257,0,IF($C20=Z$2,"PAGAR"&amp;" "&amp;TEXT($B20," #.##0,00"),0)))</f>
        <v>0</v>
      </c>
      <c r="AA20" s="111">
        <f>+IF(AA$2=$E20,$D20,IF(AA$2&gt;AA$257,0,IF($C20=AA$2,"PAGAR"&amp;" "&amp;TEXT($B20," #.##0,00"),0)))</f>
        <v>0</v>
      </c>
      <c r="AB20" s="111">
        <f>+IF(AB$2=$E20,$D20,IF(AB$2&gt;AB$257,0,IF($C20=AB$2,"PAGAR"&amp;" "&amp;TEXT($B20," #.##0,00"),0)))</f>
        <v>0</v>
      </c>
      <c r="AC20" s="111">
        <f>+IF(AC$2=$E20,$D20,IF(AC$2&gt;AC$257,0,IF($C20=AC$2,"PAGAR"&amp;" "&amp;TEXT($B20," #.##0,00"),0)))</f>
        <v>0</v>
      </c>
      <c r="AD20" s="111">
        <f>+IF(AD$2=$E20,$D20,IF(AD$2&gt;AD$257,0,IF($C20=AD$2,"PAGAR"&amp;" "&amp;TEXT($B20," #.##0,00"),0)))</f>
        <v>0</v>
      </c>
      <c r="AE20" s="111">
        <f>+IF(AE$2=$E20,$D20,IF(AE$2&gt;AE$257,0,IF($C20=AE$2,"PAGAR"&amp;" "&amp;TEXT($B20," #.##0,00"),0)))</f>
        <v>0</v>
      </c>
      <c r="AF20" s="111">
        <f>+IF(AF$2=$E20,$D20,IF(AF$2&gt;AF$257,0,IF($C20=AF$2,"PAGAR"&amp;" "&amp;TEXT($B20," #.##0,00"),0)))</f>
        <v>0</v>
      </c>
      <c r="AG20" s="111">
        <f>+IF(AG$2=$E20,$D20,IF(AG$2&gt;AG$257,0,IF($C20=AG$2,"PAGAR"&amp;" "&amp;TEXT($B20," #.##0,00"),0)))</f>
        <v>0</v>
      </c>
      <c r="AH20" s="111">
        <f>+IF(AH$2=$E20,$D20,IF(AH$2&gt;AH$257,0,IF($C20=AH$2,"PAGAR"&amp;" "&amp;TEXT($B20," #.##0,00"),0)))</f>
        <v>0</v>
      </c>
      <c r="AI20" s="111">
        <f>+IF(AI$2=$E20,$D20,IF(AI$2&gt;AI$257,0,IF($C20=AI$2,"PAGAR"&amp;" "&amp;TEXT($B20," #.##0,00"),0)))</f>
        <v>0</v>
      </c>
      <c r="AJ20" s="111">
        <f>+IF(AJ$2=$E20,$D20,IF(AJ$2&gt;AJ$257,0,IF($C20=AJ$2,"PAGAR"&amp;" "&amp;TEXT($B20," #.##0,00"),0)))</f>
        <v>0</v>
      </c>
      <c r="AK20" s="111">
        <f>+IF(AK$2=$E20,$D20,IF(AK$2&gt;AK$257,0,IF($C20=AK$2,"PAGAR"&amp;" "&amp;TEXT($B20," #.##0,00"),0)))</f>
        <v>0</v>
      </c>
      <c r="AL20" s="111">
        <f>+IF(AL$2=$E20,$D20,IF(AL$2&gt;AL$257,0,IF($C20=AL$2,"PAGAR"&amp;" "&amp;TEXT($B20," #.##0,00"),0)))</f>
        <v>0</v>
      </c>
      <c r="AM20" s="111">
        <f>+IF(AM$2=$E20,$D20,IF(AM$2&gt;AM$257,0,IF($C20=AM$2,"PAGAR"&amp;" "&amp;TEXT($B20," #.##0,00"),0)))</f>
        <v>0</v>
      </c>
      <c r="AN20" s="111">
        <f t="shared" ca="1" si="3"/>
        <v>0</v>
      </c>
      <c r="AO20" s="287">
        <f t="shared" si="4"/>
        <v>0</v>
      </c>
      <c r="AQ20" s="232"/>
      <c r="AR20" s="230"/>
      <c r="AS20" s="234"/>
      <c r="AT20" s="225"/>
      <c r="AU20" s="234"/>
      <c r="AV20" s="225"/>
      <c r="AW20" s="234"/>
      <c r="AX20" s="225"/>
      <c r="AY20" s="234"/>
      <c r="AZ20" s="226"/>
      <c r="BA20" s="236"/>
      <c r="BB20" s="226"/>
      <c r="BC20" s="236"/>
      <c r="BD20" s="227"/>
    </row>
    <row r="21" spans="1:64" x14ac:dyDescent="0.25">
      <c r="A21" s="212"/>
      <c r="B21" s="90"/>
      <c r="C21" s="91"/>
      <c r="D21" s="97"/>
      <c r="E21" s="166"/>
      <c r="F21" s="84">
        <f ca="1">+IF(TODAY()&lt;DATEVALUE(1&amp;D$1&amp;E$1),0,IF(C21&gt;0,IF(C21-SUM(I$255:AM$255)&lt;0,B21-SUM(I21:AM21,0),0),0))+IF(C21=-1,B21-SUM(J21:AM21))</f>
        <v>0</v>
      </c>
      <c r="G21" s="210" t="str">
        <f t="shared" si="5"/>
        <v>-</v>
      </c>
      <c r="H21" s="14"/>
      <c r="I21" s="111">
        <f>IF(I$2=$E21,$D21,IF(I$2&gt;I$257,0,IF($C21=I$2,"PAGAR"&amp;" "&amp;TEXT($B21," #.##0,00"),IF($C21=-1,"PAGAR"&amp;" "&amp;TEXT($B21," #.##0,00"),0))))</f>
        <v>0</v>
      </c>
      <c r="J21" s="111">
        <f>+IF(J$2=$E21,$D21,IF(J$2&gt;J$257,0,IF($C21=J$2,"PAGAR"&amp;" "&amp;TEXT($B21," #.##0,00"),0)))</f>
        <v>0</v>
      </c>
      <c r="K21" s="111">
        <f>+IF(K$2=$E21,$D21,IF(K$2&gt;K$257,0,IF($C21=K$2,"PAGAR"&amp;" "&amp;TEXT($B21," #.##0,00"),0)))</f>
        <v>0</v>
      </c>
      <c r="L21" s="111">
        <f>+IF(L$2=$E21,$D21,IF(L$2&gt;L$257,0,IF($C21=L$2,"PAGAR"&amp;" "&amp;TEXT($B21," #.##0,00"),0)))</f>
        <v>0</v>
      </c>
      <c r="M21" s="111">
        <f>+IF(M$2=$E21,$D21,IF(M$2&gt;M$257,0,IF($C21=M$2,"PAGAR"&amp;" "&amp;TEXT($B21," #.##0,00"),0)))</f>
        <v>0</v>
      </c>
      <c r="N21" s="111">
        <f>+IF(N$2=$E21,$D21,IF(N$2&gt;N$257,0,IF($C21=N$2,"PAGAR"&amp;" "&amp;TEXT($B21," #.##0,00"),0)))</f>
        <v>0</v>
      </c>
      <c r="O21" s="111">
        <f>+IF(O$2=$E21,$D21,IF(O$2&gt;O$257,0,IF($C21=O$2,"PAGAR"&amp;" "&amp;TEXT($B21," #.##0,00"),0)))</f>
        <v>0</v>
      </c>
      <c r="P21" s="111">
        <f>+IF(P$2=$E21,$D21,IF(P$2&gt;P$257,0,IF($C21=P$2,"PAGAR"&amp;" "&amp;TEXT($B21," #.##0,00"),0)))</f>
        <v>0</v>
      </c>
      <c r="Q21" s="111">
        <f>+IF(Q$2=$E21,$D21,IF(Q$2&gt;Q$257,0,IF($C21=Q$2,"PAGAR"&amp;" "&amp;TEXT($B21," #.##0,00"),0)))</f>
        <v>0</v>
      </c>
      <c r="R21" s="111">
        <f>+IF(R$2=$E21,$D21,IF(R$2&gt;R$257,0,IF($C21=R$2,"PAGAR"&amp;" "&amp;TEXT($B21," #.##0,00"),0)))</f>
        <v>0</v>
      </c>
      <c r="S21" s="111">
        <f>+IF(S$2=$E21,$D21,IF(S$2&gt;S$257,0,IF($C21=S$2,"PAGAR"&amp;" "&amp;TEXT($B21," #.##0,00"),0)))</f>
        <v>0</v>
      </c>
      <c r="T21" s="111">
        <f>+IF(T$2=$E21,$D21,IF(T$2&gt;T$257,0,IF($C21=T$2,"PAGAR"&amp;" "&amp;TEXT($B21," #.##0,00"),0)))</f>
        <v>0</v>
      </c>
      <c r="U21" s="111">
        <f>+IF(U$2=$E21,$D21,IF(U$2&gt;U$257,0,IF($C21=U$2,"PAGAR"&amp;" "&amp;TEXT($B21," #.##0,00"),0)))</f>
        <v>0</v>
      </c>
      <c r="V21" s="111">
        <f>+IF(V$2=$E21,$D21,IF(V$2&gt;V$257,0,IF($C21=V$2,"PAGAR"&amp;" "&amp;TEXT($B21," #.##0,00"),0)))</f>
        <v>0</v>
      </c>
      <c r="W21" s="111">
        <f>+IF(W$2=$E21,$D21,IF(W$2&gt;W$257,0,IF($C21=W$2,"PAGAR"&amp;" "&amp;TEXT($B21," #.##0,00"),0)))</f>
        <v>0</v>
      </c>
      <c r="X21" s="111">
        <f>+IF(X$2=$E21,$D21,IF(X$2&gt;X$257,0,IF($C21=X$2,"PAGAR"&amp;" "&amp;TEXT($B21," #.##0,00"),0)))</f>
        <v>0</v>
      </c>
      <c r="Y21" s="111">
        <f>+IF(Y$2=$E21,$D21,IF(Y$2&gt;Y$257,0,IF($C21=Y$2,"PAGAR"&amp;" "&amp;TEXT($B21," #.##0,00"),0)))</f>
        <v>0</v>
      </c>
      <c r="Z21" s="111">
        <f>+IF(Z$2=$E21,$D21,IF(Z$2&gt;Z$257,0,IF($C21=Z$2,"PAGAR"&amp;" "&amp;TEXT($B21," #.##0,00"),0)))</f>
        <v>0</v>
      </c>
      <c r="AA21" s="111">
        <f>+IF(AA$2=$E21,$D21,IF(AA$2&gt;AA$257,0,IF($C21=AA$2,"PAGAR"&amp;" "&amp;TEXT($B21," #.##0,00"),0)))</f>
        <v>0</v>
      </c>
      <c r="AB21" s="111">
        <f>+IF(AB$2=$E21,$D21,IF(AB$2&gt;AB$257,0,IF($C21=AB$2,"PAGAR"&amp;" "&amp;TEXT($B21," #.##0,00"),0)))</f>
        <v>0</v>
      </c>
      <c r="AC21" s="111">
        <f>+IF(AC$2=$E21,$D21,IF(AC$2&gt;AC$257,0,IF($C21=AC$2,"PAGAR"&amp;" "&amp;TEXT($B21," #.##0,00"),0)))</f>
        <v>0</v>
      </c>
      <c r="AD21" s="111">
        <f>+IF(AD$2=$E21,$D21,IF(AD$2&gt;AD$257,0,IF($C21=AD$2,"PAGAR"&amp;" "&amp;TEXT($B21," #.##0,00"),0)))</f>
        <v>0</v>
      </c>
      <c r="AE21" s="111">
        <f>+IF(AE$2=$E21,$D21,IF(AE$2&gt;AE$257,0,IF($C21=AE$2,"PAGAR"&amp;" "&amp;TEXT($B21," #.##0,00"),0)))</f>
        <v>0</v>
      </c>
      <c r="AF21" s="111">
        <f>+IF(AF$2=$E21,$D21,IF(AF$2&gt;AF$257,0,IF($C21=AF$2,"PAGAR"&amp;" "&amp;TEXT($B21," #.##0,00"),0)))</f>
        <v>0</v>
      </c>
      <c r="AG21" s="111">
        <f>+IF(AG$2=$E21,$D21,IF(AG$2&gt;AG$257,0,IF($C21=AG$2,"PAGAR"&amp;" "&amp;TEXT($B21," #.##0,00"),0)))</f>
        <v>0</v>
      </c>
      <c r="AH21" s="111">
        <f>+IF(AH$2=$E21,$D21,IF(AH$2&gt;AH$257,0,IF($C21=AH$2,"PAGAR"&amp;" "&amp;TEXT($B21," #.##0,00"),0)))</f>
        <v>0</v>
      </c>
      <c r="AI21" s="111">
        <f>+IF(AI$2=$E21,$D21,IF(AI$2&gt;AI$257,0,IF($C21=AI$2,"PAGAR"&amp;" "&amp;TEXT($B21," #.##0,00"),0)))</f>
        <v>0</v>
      </c>
      <c r="AJ21" s="111">
        <f>+IF(AJ$2=$E21,$D21,IF(AJ$2&gt;AJ$257,0,IF($C21=AJ$2,"PAGAR"&amp;" "&amp;TEXT($B21," #.##0,00"),0)))</f>
        <v>0</v>
      </c>
      <c r="AK21" s="111">
        <f>+IF(AK$2=$E21,$D21,IF(AK$2&gt;AK$257,0,IF($C21=AK$2,"PAGAR"&amp;" "&amp;TEXT($B21," #.##0,00"),0)))</f>
        <v>0</v>
      </c>
      <c r="AL21" s="111">
        <f>+IF(AL$2=$E21,$D21,IF(AL$2&gt;AL$257,0,IF($C21=AL$2,"PAGAR"&amp;" "&amp;TEXT($B21," #.##0,00"),0)))</f>
        <v>0</v>
      </c>
      <c r="AM21" s="111">
        <f>+IF(AM$2=$E21,$D21,IF(AM$2&gt;AM$257,0,IF($C21=AM$2,"PAGAR"&amp;" "&amp;TEXT($B21," #.##0,00"),0)))</f>
        <v>0</v>
      </c>
      <c r="AN21" s="111">
        <f t="shared" ca="1" si="3"/>
        <v>0</v>
      </c>
      <c r="AO21" s="287">
        <f t="shared" si="4"/>
        <v>0</v>
      </c>
      <c r="AQ21" s="250"/>
      <c r="AR21" s="251"/>
      <c r="AS21" s="245"/>
      <c r="AT21" s="246"/>
      <c r="AU21" s="245"/>
      <c r="AV21" s="252"/>
      <c r="AW21" s="245"/>
      <c r="AX21" s="246"/>
      <c r="AY21" s="245"/>
      <c r="AZ21" s="247"/>
      <c r="BA21" s="248"/>
      <c r="BB21" s="247"/>
      <c r="BC21" s="248"/>
      <c r="BD21" s="249"/>
    </row>
    <row r="22" spans="1:64" x14ac:dyDescent="0.25">
      <c r="A22" s="212"/>
      <c r="B22" s="90"/>
      <c r="C22" s="91"/>
      <c r="D22" s="97"/>
      <c r="E22" s="166"/>
      <c r="F22" s="84">
        <f ca="1">+IF(TODAY()&lt;DATEVALUE(1&amp;D$1&amp;E$1),0,IF(C22&gt;0,IF(C22-SUM(I$255:AM$255)&lt;0,B22-SUM(I22:AM22,0),0),0))+IF(C22=-1,B22-SUM(J22:AM22))</f>
        <v>0</v>
      </c>
      <c r="G22" s="210" t="str">
        <f t="shared" si="5"/>
        <v>-</v>
      </c>
      <c r="H22" s="14"/>
      <c r="I22" s="111">
        <f>IF(I$2=$E22,$D22,IF(I$2&gt;I$257,0,IF($C22=I$2,"PAGAR"&amp;" "&amp;TEXT($B22," #.##0,00"),IF($C22=-1,"PAGAR"&amp;" "&amp;TEXT($B22," #.##0,00"),0))))</f>
        <v>0</v>
      </c>
      <c r="J22" s="111">
        <f>+IF(J$2=$E22,$D22,IF(J$2&gt;J$257,0,IF($C22=J$2,"PAGAR"&amp;" "&amp;TEXT($B22," #.##0,00"),0)))</f>
        <v>0</v>
      </c>
      <c r="K22" s="111">
        <f>+IF(K$2=$E22,$D22,IF(K$2&gt;K$257,0,IF($C22=K$2,"PAGAR"&amp;" "&amp;TEXT($B22," #.##0,00"),0)))</f>
        <v>0</v>
      </c>
      <c r="L22" s="111">
        <f>+IF(L$2=$E22,$D22,IF(L$2&gt;L$257,0,IF($C22=L$2,"PAGAR"&amp;" "&amp;TEXT($B22," #.##0,00"),0)))</f>
        <v>0</v>
      </c>
      <c r="M22" s="111">
        <f>+IF(M$2=$E22,$D22,IF(M$2&gt;M$257,0,IF($C22=M$2,"PAGAR"&amp;" "&amp;TEXT($B22," #.##0,00"),0)))</f>
        <v>0</v>
      </c>
      <c r="N22" s="111">
        <f>+IF(N$2=$E22,$D22,IF(N$2&gt;N$257,0,IF($C22=N$2,"PAGAR"&amp;" "&amp;TEXT($B22," #.##0,00"),0)))</f>
        <v>0</v>
      </c>
      <c r="O22" s="111">
        <f>+IF(O$2=$E22,$D22,IF(O$2&gt;O$257,0,IF($C22=O$2,"PAGAR"&amp;" "&amp;TEXT($B22," #.##0,00"),0)))</f>
        <v>0</v>
      </c>
      <c r="P22" s="111">
        <f>+IF(P$2=$E22,$D22,IF(P$2&gt;P$257,0,IF($C22=P$2,"PAGAR"&amp;" "&amp;TEXT($B22," #.##0,00"),0)))</f>
        <v>0</v>
      </c>
      <c r="Q22" s="111">
        <f>+IF(Q$2=$E22,$D22,IF(Q$2&gt;Q$257,0,IF($C22=Q$2,"PAGAR"&amp;" "&amp;TEXT($B22," #.##0,00"),0)))</f>
        <v>0</v>
      </c>
      <c r="R22" s="111">
        <f>+IF(R$2=$E22,$D22,IF(R$2&gt;R$257,0,IF($C22=R$2,"PAGAR"&amp;" "&amp;TEXT($B22," #.##0,00"),0)))</f>
        <v>0</v>
      </c>
      <c r="S22" s="111">
        <f>+IF(S$2=$E22,$D22,IF(S$2&gt;S$257,0,IF($C22=S$2,"PAGAR"&amp;" "&amp;TEXT($B22," #.##0,00"),0)))</f>
        <v>0</v>
      </c>
      <c r="T22" s="111">
        <f>+IF(T$2=$E22,$D22,IF(T$2&gt;T$257,0,IF($C22=T$2,"PAGAR"&amp;" "&amp;TEXT($B22," #.##0,00"),0)))</f>
        <v>0</v>
      </c>
      <c r="U22" s="111">
        <f>+IF(U$2=$E22,$D22,IF(U$2&gt;U$257,0,IF($C22=U$2,"PAGAR"&amp;" "&amp;TEXT($B22," #.##0,00"),0)))</f>
        <v>0</v>
      </c>
      <c r="V22" s="111">
        <f>+IF(V$2=$E22,$D22,IF(V$2&gt;V$257,0,IF($C22=V$2,"PAGAR"&amp;" "&amp;TEXT($B22," #.##0,00"),0)))</f>
        <v>0</v>
      </c>
      <c r="W22" s="111">
        <f>+IF(W$2=$E22,$D22,IF(W$2&gt;W$257,0,IF($C22=W$2,"PAGAR"&amp;" "&amp;TEXT($B22," #.##0,00"),0)))</f>
        <v>0</v>
      </c>
      <c r="X22" s="111">
        <f>+IF(X$2=$E22,$D22,IF(X$2&gt;X$257,0,IF($C22=X$2,"PAGAR"&amp;" "&amp;TEXT($B22," #.##0,00"),0)))</f>
        <v>0</v>
      </c>
      <c r="Y22" s="111">
        <f>+IF(Y$2=$E22,$D22,IF(Y$2&gt;Y$257,0,IF($C22=Y$2,"PAGAR"&amp;" "&amp;TEXT($B22," #.##0,00"),0)))</f>
        <v>0</v>
      </c>
      <c r="Z22" s="111">
        <f>+IF(Z$2=$E22,$D22,IF(Z$2&gt;Z$257,0,IF($C22=Z$2,"PAGAR"&amp;" "&amp;TEXT($B22," #.##0,00"),0)))</f>
        <v>0</v>
      </c>
      <c r="AA22" s="111">
        <f>+IF(AA$2=$E22,$D22,IF(AA$2&gt;AA$257,0,IF($C22=AA$2,"PAGAR"&amp;" "&amp;TEXT($B22," #.##0,00"),0)))</f>
        <v>0</v>
      </c>
      <c r="AB22" s="111">
        <f>+IF(AB$2=$E22,$D22,IF(AB$2&gt;AB$257,0,IF($C22=AB$2,"PAGAR"&amp;" "&amp;TEXT($B22," #.##0,00"),0)))</f>
        <v>0</v>
      </c>
      <c r="AC22" s="111">
        <f>+IF(AC$2=$E22,$D22,IF(AC$2&gt;AC$257,0,IF($C22=AC$2,"PAGAR"&amp;" "&amp;TEXT($B22," #.##0,00"),0)))</f>
        <v>0</v>
      </c>
      <c r="AD22" s="111">
        <f>+IF(AD$2=$E22,$D22,IF(AD$2&gt;AD$257,0,IF($C22=AD$2,"PAGAR"&amp;" "&amp;TEXT($B22," #.##0,00"),0)))</f>
        <v>0</v>
      </c>
      <c r="AE22" s="111">
        <f>+IF(AE$2=$E22,$D22,IF(AE$2&gt;AE$257,0,IF($C22=AE$2,"PAGAR"&amp;" "&amp;TEXT($B22," #.##0,00"),0)))</f>
        <v>0</v>
      </c>
      <c r="AF22" s="111">
        <f>+IF(AF$2=$E22,$D22,IF(AF$2&gt;AF$257,0,IF($C22=AF$2,"PAGAR"&amp;" "&amp;TEXT($B22," #.##0,00"),0)))</f>
        <v>0</v>
      </c>
      <c r="AG22" s="111">
        <f>+IF(AG$2=$E22,$D22,IF(AG$2&gt;AG$257,0,IF($C22=AG$2,"PAGAR"&amp;" "&amp;TEXT($B22," #.##0,00"),0)))</f>
        <v>0</v>
      </c>
      <c r="AH22" s="111">
        <f>+IF(AH$2=$E22,$D22,IF(AH$2&gt;AH$257,0,IF($C22=AH$2,"PAGAR"&amp;" "&amp;TEXT($B22," #.##0,00"),0)))</f>
        <v>0</v>
      </c>
      <c r="AI22" s="111">
        <f>+IF(AI$2=$E22,$D22,IF(AI$2&gt;AI$257,0,IF($C22=AI$2,"PAGAR"&amp;" "&amp;TEXT($B22," #.##0,00"),0)))</f>
        <v>0</v>
      </c>
      <c r="AJ22" s="111">
        <f>+IF(AJ$2=$E22,$D22,IF(AJ$2&gt;AJ$257,0,IF($C22=AJ$2,"PAGAR"&amp;" "&amp;TEXT($B22," #.##0,00"),0)))</f>
        <v>0</v>
      </c>
      <c r="AK22" s="111">
        <f>+IF(AK$2=$E22,$D22,IF(AK$2&gt;AK$257,0,IF($C22=AK$2,"PAGAR"&amp;" "&amp;TEXT($B22," #.##0,00"),0)))</f>
        <v>0</v>
      </c>
      <c r="AL22" s="111">
        <f>+IF(AL$2=$E22,$D22,IF(AL$2&gt;AL$257,0,IF($C22=AL$2,"PAGAR"&amp;" "&amp;TEXT($B22," #.##0,00"),0)))</f>
        <v>0</v>
      </c>
      <c r="AM22" s="111">
        <f>+IF(AM$2=$E22,$D22,IF(AM$2&gt;AM$257,0,IF($C22=AM$2,"PAGAR"&amp;" "&amp;TEXT($B22," #.##0,00"),0)))</f>
        <v>0</v>
      </c>
      <c r="AN22" s="111">
        <f t="shared" ca="1" si="3"/>
        <v>0</v>
      </c>
      <c r="AO22" s="287">
        <f t="shared" si="4"/>
        <v>0</v>
      </c>
      <c r="AQ22" s="232"/>
      <c r="AR22" s="230"/>
      <c r="AS22" s="234"/>
      <c r="AT22" s="225"/>
      <c r="AU22" s="234"/>
      <c r="AV22" s="225"/>
      <c r="AW22" s="234"/>
      <c r="AX22" s="225"/>
      <c r="AY22" s="234"/>
      <c r="AZ22" s="226"/>
      <c r="BA22" s="236"/>
      <c r="BB22" s="226"/>
      <c r="BC22" s="236"/>
      <c r="BD22" s="227"/>
    </row>
    <row r="23" spans="1:64" x14ac:dyDescent="0.25">
      <c r="A23" s="212"/>
      <c r="B23" s="90"/>
      <c r="C23" s="91"/>
      <c r="D23" s="97"/>
      <c r="E23" s="166"/>
      <c r="F23" s="84">
        <f ca="1">+IF(TODAY()&lt;DATEVALUE(1&amp;D$1&amp;E$1),0,IF(C23&gt;0,IF(C23-SUM(I$255:AM$255)&lt;0,B23-SUM(I23:AM23,0),0),0))+IF(C23=-1,B23-SUM(J23:AM23))</f>
        <v>0</v>
      </c>
      <c r="G23" s="210" t="str">
        <f t="shared" si="5"/>
        <v>-</v>
      </c>
      <c r="H23" s="14"/>
      <c r="I23" s="111">
        <f>IF(I$2=$E23,$D23,IF(I$2&gt;I$257,0,IF($C23=I$2,"PAGAR"&amp;" "&amp;TEXT($B23," #.##0,00"),IF($C23=-1,"PAGAR"&amp;" "&amp;TEXT($B23," #.##0,00"),0))))</f>
        <v>0</v>
      </c>
      <c r="J23" s="111">
        <f>+IF(J$2=$E23,$D23,IF(J$2&gt;J$257,0,IF($C23=J$2,"PAGAR"&amp;" "&amp;TEXT($B23," #.##0,00"),0)))</f>
        <v>0</v>
      </c>
      <c r="K23" s="111">
        <f>+IF(K$2=$E23,$D23,IF(K$2&gt;K$257,0,IF($C23=K$2,"PAGAR"&amp;" "&amp;TEXT($B23," #.##0,00"),0)))</f>
        <v>0</v>
      </c>
      <c r="L23" s="111">
        <f>+IF(L$2=$E23,$D23,IF(L$2&gt;L$257,0,IF($C23=L$2,"PAGAR"&amp;" "&amp;TEXT($B23," #.##0,00"),0)))</f>
        <v>0</v>
      </c>
      <c r="M23" s="111">
        <f>+IF(M$2=$E23,$D23,IF(M$2&gt;M$257,0,IF($C23=M$2,"PAGAR"&amp;" "&amp;TEXT($B23," #.##0,00"),0)))</f>
        <v>0</v>
      </c>
      <c r="N23" s="111">
        <f>+IF(N$2=$E23,$D23,IF(N$2&gt;N$257,0,IF($C23=N$2,"PAGAR"&amp;" "&amp;TEXT($B23," #.##0,00"),0)))</f>
        <v>0</v>
      </c>
      <c r="O23" s="111">
        <f>+IF(O$2=$E23,$D23,IF(O$2&gt;O$257,0,IF($C23=O$2,"PAGAR"&amp;" "&amp;TEXT($B23," #.##0,00"),0)))</f>
        <v>0</v>
      </c>
      <c r="P23" s="111">
        <f>+IF(P$2=$E23,$D23,IF(P$2&gt;P$257,0,IF($C23=P$2,"PAGAR"&amp;" "&amp;TEXT($B23," #.##0,00"),0)))</f>
        <v>0</v>
      </c>
      <c r="Q23" s="111">
        <f>+IF(Q$2=$E23,$D23,IF(Q$2&gt;Q$257,0,IF($C23=Q$2,"PAGAR"&amp;" "&amp;TEXT($B23," #.##0,00"),0)))</f>
        <v>0</v>
      </c>
      <c r="R23" s="111">
        <f>+IF(R$2=$E23,$D23,IF(R$2&gt;R$257,0,IF($C23=R$2,"PAGAR"&amp;" "&amp;TEXT($B23," #.##0,00"),0)))</f>
        <v>0</v>
      </c>
      <c r="S23" s="111">
        <f>+IF(S$2=$E23,$D23,IF(S$2&gt;S$257,0,IF($C23=S$2,"PAGAR"&amp;" "&amp;TEXT($B23," #.##0,00"),0)))</f>
        <v>0</v>
      </c>
      <c r="T23" s="111">
        <f>+IF(T$2=$E23,$D23,IF(T$2&gt;T$257,0,IF($C23=T$2,"PAGAR"&amp;" "&amp;TEXT($B23," #.##0,00"),0)))</f>
        <v>0</v>
      </c>
      <c r="U23" s="111">
        <f>+IF(U$2=$E23,$D23,IF(U$2&gt;U$257,0,IF($C23=U$2,"PAGAR"&amp;" "&amp;TEXT($B23," #.##0,00"),0)))</f>
        <v>0</v>
      </c>
      <c r="V23" s="111">
        <f>+IF(V$2=$E23,$D23,IF(V$2&gt;V$257,0,IF($C23=V$2,"PAGAR"&amp;" "&amp;TEXT($B23," #.##0,00"),0)))</f>
        <v>0</v>
      </c>
      <c r="W23" s="111">
        <f>+IF(W$2=$E23,$D23,IF(W$2&gt;W$257,0,IF($C23=W$2,"PAGAR"&amp;" "&amp;TEXT($B23," #.##0,00"),0)))</f>
        <v>0</v>
      </c>
      <c r="X23" s="111">
        <f>+IF(X$2=$E23,$D23,IF(X$2&gt;X$257,0,IF($C23=X$2,"PAGAR"&amp;" "&amp;TEXT($B23," #.##0,00"),0)))</f>
        <v>0</v>
      </c>
      <c r="Y23" s="111">
        <f>+IF(Y$2=$E23,$D23,IF(Y$2&gt;Y$257,0,IF($C23=Y$2,"PAGAR"&amp;" "&amp;TEXT($B23," #.##0,00"),0)))</f>
        <v>0</v>
      </c>
      <c r="Z23" s="111">
        <f>+IF(Z$2=$E23,$D23,IF(Z$2&gt;Z$257,0,IF($C23=Z$2,"PAGAR"&amp;" "&amp;TEXT($B23," #.##0,00"),0)))</f>
        <v>0</v>
      </c>
      <c r="AA23" s="111">
        <f>+IF(AA$2=$E23,$D23,IF(AA$2&gt;AA$257,0,IF($C23=AA$2,"PAGAR"&amp;" "&amp;TEXT($B23," #.##0,00"),0)))</f>
        <v>0</v>
      </c>
      <c r="AB23" s="111">
        <f>+IF(AB$2=$E23,$D23,IF(AB$2&gt;AB$257,0,IF($C23=AB$2,"PAGAR"&amp;" "&amp;TEXT($B23," #.##0,00"),0)))</f>
        <v>0</v>
      </c>
      <c r="AC23" s="111">
        <f>+IF(AC$2=$E23,$D23,IF(AC$2&gt;AC$257,0,IF($C23=AC$2,"PAGAR"&amp;" "&amp;TEXT($B23," #.##0,00"),0)))</f>
        <v>0</v>
      </c>
      <c r="AD23" s="111">
        <f>+IF(AD$2=$E23,$D23,IF(AD$2&gt;AD$257,0,IF($C23=AD$2,"PAGAR"&amp;" "&amp;TEXT($B23," #.##0,00"),0)))</f>
        <v>0</v>
      </c>
      <c r="AE23" s="111">
        <f>+IF(AE$2=$E23,$D23,IF(AE$2&gt;AE$257,0,IF($C23=AE$2,"PAGAR"&amp;" "&amp;TEXT($B23," #.##0,00"),0)))</f>
        <v>0</v>
      </c>
      <c r="AF23" s="111">
        <f>+IF(AF$2=$E23,$D23,IF(AF$2&gt;AF$257,0,IF($C23=AF$2,"PAGAR"&amp;" "&amp;TEXT($B23," #.##0,00"),0)))</f>
        <v>0</v>
      </c>
      <c r="AG23" s="111">
        <f>+IF(AG$2=$E23,$D23,IF(AG$2&gt;AG$257,0,IF($C23=AG$2,"PAGAR"&amp;" "&amp;TEXT($B23," #.##0,00"),0)))</f>
        <v>0</v>
      </c>
      <c r="AH23" s="111">
        <f>+IF(AH$2=$E23,$D23,IF(AH$2&gt;AH$257,0,IF($C23=AH$2,"PAGAR"&amp;" "&amp;TEXT($B23," #.##0,00"),0)))</f>
        <v>0</v>
      </c>
      <c r="AI23" s="111">
        <f>+IF(AI$2=$E23,$D23,IF(AI$2&gt;AI$257,0,IF($C23=AI$2,"PAGAR"&amp;" "&amp;TEXT($B23," #.##0,00"),0)))</f>
        <v>0</v>
      </c>
      <c r="AJ23" s="111">
        <f>+IF(AJ$2=$E23,$D23,IF(AJ$2&gt;AJ$257,0,IF($C23=AJ$2,"PAGAR"&amp;" "&amp;TEXT($B23," #.##0,00"),0)))</f>
        <v>0</v>
      </c>
      <c r="AK23" s="111">
        <f>+IF(AK$2=$E23,$D23,IF(AK$2&gt;AK$257,0,IF($C23=AK$2,"PAGAR"&amp;" "&amp;TEXT($B23," #.##0,00"),0)))</f>
        <v>0</v>
      </c>
      <c r="AL23" s="111">
        <f>+IF(AL$2=$E23,$D23,IF(AL$2&gt;AL$257,0,IF($C23=AL$2,"PAGAR"&amp;" "&amp;TEXT($B23," #.##0,00"),0)))</f>
        <v>0</v>
      </c>
      <c r="AM23" s="111">
        <f>+IF(AM$2=$E23,$D23,IF(AM$2&gt;AM$257,0,IF($C23=AM$2,"PAGAR"&amp;" "&amp;TEXT($B23," #.##0,00"),0)))</f>
        <v>0</v>
      </c>
      <c r="AN23" s="111">
        <f t="shared" ca="1" si="3"/>
        <v>0</v>
      </c>
      <c r="AO23" s="287">
        <f t="shared" si="4"/>
        <v>0</v>
      </c>
      <c r="AQ23" s="253"/>
      <c r="AR23" s="254"/>
      <c r="AS23" s="242"/>
      <c r="AT23" s="243"/>
      <c r="AU23" s="242"/>
      <c r="AV23" s="164"/>
      <c r="AW23" s="242"/>
      <c r="AX23" s="243"/>
      <c r="AY23" s="242"/>
      <c r="AZ23" s="243"/>
      <c r="BA23" s="242"/>
      <c r="BB23" s="243"/>
      <c r="BC23" s="242"/>
      <c r="BD23" s="244"/>
    </row>
    <row r="24" spans="1:64" x14ac:dyDescent="0.25">
      <c r="A24" s="212"/>
      <c r="B24" s="90"/>
      <c r="C24" s="91"/>
      <c r="D24" s="97"/>
      <c r="E24" s="166"/>
      <c r="F24" s="84">
        <f ca="1">+IF(TODAY()&lt;DATEVALUE(1&amp;D$1&amp;E$1),0,IF(C24&gt;0,IF(C24-SUM(I$255:AM$255)&lt;0,B24-SUM(I24:AM24,0),0),0))+IF(C24=-1,B24-SUM(J24:AM24))</f>
        <v>0</v>
      </c>
      <c r="G24" s="210" t="str">
        <f t="shared" si="5"/>
        <v>-</v>
      </c>
      <c r="H24" s="14"/>
      <c r="I24" s="111">
        <f>IF(I$2=$E24,$D24,IF(I$2&gt;I$257,0,IF($C24=I$2,"PAGAR"&amp;" "&amp;TEXT($B24," #.##0,00"),IF($C24=-1,"PAGAR"&amp;" "&amp;TEXT($B24," #.##0,00"),0))))</f>
        <v>0</v>
      </c>
      <c r="J24" s="111">
        <f>+IF(J$2=$E24,$D24,IF(J$2&gt;J$257,0,IF($C24=J$2,"PAGAR"&amp;" "&amp;TEXT($B24," #.##0,00"),0)))</f>
        <v>0</v>
      </c>
      <c r="K24" s="111">
        <f>+IF(K$2=$E24,$D24,IF(K$2&gt;K$257,0,IF($C24=K$2,"PAGAR"&amp;" "&amp;TEXT($B24," #.##0,00"),0)))</f>
        <v>0</v>
      </c>
      <c r="L24" s="111">
        <f>+IF(L$2=$E24,$D24,IF(L$2&gt;L$257,0,IF($C24=L$2,"PAGAR"&amp;" "&amp;TEXT($B24," #.##0,00"),0)))</f>
        <v>0</v>
      </c>
      <c r="M24" s="111">
        <f>+IF(M$2=$E24,$D24,IF(M$2&gt;M$257,0,IF($C24=M$2,"PAGAR"&amp;" "&amp;TEXT($B24," #.##0,00"),0)))</f>
        <v>0</v>
      </c>
      <c r="N24" s="111">
        <f>+IF(N$2=$E24,$D24,IF(N$2&gt;N$257,0,IF($C24=N$2,"PAGAR"&amp;" "&amp;TEXT($B24," #.##0,00"),0)))</f>
        <v>0</v>
      </c>
      <c r="O24" s="111">
        <f>+IF(O$2=$E24,$D24,IF(O$2&gt;O$257,0,IF($C24=O$2,"PAGAR"&amp;" "&amp;TEXT($B24," #.##0,00"),0)))</f>
        <v>0</v>
      </c>
      <c r="P24" s="111">
        <f>+IF(P$2=$E24,$D24,IF(P$2&gt;P$257,0,IF($C24=P$2,"PAGAR"&amp;" "&amp;TEXT($B24," #.##0,00"),0)))</f>
        <v>0</v>
      </c>
      <c r="Q24" s="111">
        <f>+IF(Q$2=$E24,$D24,IF(Q$2&gt;Q$257,0,IF($C24=Q$2,"PAGAR"&amp;" "&amp;TEXT($B24," #.##0,00"),0)))</f>
        <v>0</v>
      </c>
      <c r="R24" s="111">
        <f>+IF(R$2=$E24,$D24,IF(R$2&gt;R$257,0,IF($C24=R$2,"PAGAR"&amp;" "&amp;TEXT($B24," #.##0,00"),0)))</f>
        <v>0</v>
      </c>
      <c r="S24" s="111">
        <f>+IF(S$2=$E24,$D24,IF(S$2&gt;S$257,0,IF($C24=S$2,"PAGAR"&amp;" "&amp;TEXT($B24," #.##0,00"),0)))</f>
        <v>0</v>
      </c>
      <c r="T24" s="111">
        <f>+IF(T$2=$E24,$D24,IF(T$2&gt;T$257,0,IF($C24=T$2,"PAGAR"&amp;" "&amp;TEXT($B24," #.##0,00"),0)))</f>
        <v>0</v>
      </c>
      <c r="U24" s="111">
        <f>+IF(U$2=$E24,$D24,IF(U$2&gt;U$257,0,IF($C24=U$2,"PAGAR"&amp;" "&amp;TEXT($B24," #.##0,00"),0)))</f>
        <v>0</v>
      </c>
      <c r="V24" s="111">
        <f>+IF(V$2=$E24,$D24,IF(V$2&gt;V$257,0,IF($C24=V$2,"PAGAR"&amp;" "&amp;TEXT($B24," #.##0,00"),0)))</f>
        <v>0</v>
      </c>
      <c r="W24" s="111">
        <f>+IF(W$2=$E24,$D24,IF(W$2&gt;W$257,0,IF($C24=W$2,"PAGAR"&amp;" "&amp;TEXT($B24," #.##0,00"),0)))</f>
        <v>0</v>
      </c>
      <c r="X24" s="111">
        <f>+IF(X$2=$E24,$D24,IF(X$2&gt;X$257,0,IF($C24=X$2,"PAGAR"&amp;" "&amp;TEXT($B24," #.##0,00"),0)))</f>
        <v>0</v>
      </c>
      <c r="Y24" s="111">
        <f>+IF(Y$2=$E24,$D24,IF(Y$2&gt;Y$257,0,IF($C24=Y$2,"PAGAR"&amp;" "&amp;TEXT($B24," #.##0,00"),0)))</f>
        <v>0</v>
      </c>
      <c r="Z24" s="111">
        <f>+IF(Z$2=$E24,$D24,IF(Z$2&gt;Z$257,0,IF($C24=Z$2,"PAGAR"&amp;" "&amp;TEXT($B24," #.##0,00"),0)))</f>
        <v>0</v>
      </c>
      <c r="AA24" s="111">
        <f>+IF(AA$2=$E24,$D24,IF(AA$2&gt;AA$257,0,IF($C24=AA$2,"PAGAR"&amp;" "&amp;TEXT($B24," #.##0,00"),0)))</f>
        <v>0</v>
      </c>
      <c r="AB24" s="111">
        <f>+IF(AB$2=$E24,$D24,IF(AB$2&gt;AB$257,0,IF($C24=AB$2,"PAGAR"&amp;" "&amp;TEXT($B24," #.##0,00"),0)))</f>
        <v>0</v>
      </c>
      <c r="AC24" s="111">
        <f>+IF(AC$2=$E24,$D24,IF(AC$2&gt;AC$257,0,IF($C24=AC$2,"PAGAR"&amp;" "&amp;TEXT($B24," #.##0,00"),0)))</f>
        <v>0</v>
      </c>
      <c r="AD24" s="111">
        <f>+IF(AD$2=$E24,$D24,IF(AD$2&gt;AD$257,0,IF($C24=AD$2,"PAGAR"&amp;" "&amp;TEXT($B24," #.##0,00"),0)))</f>
        <v>0</v>
      </c>
      <c r="AE24" s="111">
        <f>+IF(AE$2=$E24,$D24,IF(AE$2&gt;AE$257,0,IF($C24=AE$2,"PAGAR"&amp;" "&amp;TEXT($B24," #.##0,00"),0)))</f>
        <v>0</v>
      </c>
      <c r="AF24" s="111">
        <f>+IF(AF$2=$E24,$D24,IF(AF$2&gt;AF$257,0,IF($C24=AF$2,"PAGAR"&amp;" "&amp;TEXT($B24," #.##0,00"),0)))</f>
        <v>0</v>
      </c>
      <c r="AG24" s="111">
        <f>+IF(AG$2=$E24,$D24,IF(AG$2&gt;AG$257,0,IF($C24=AG$2,"PAGAR"&amp;" "&amp;TEXT($B24," #.##0,00"),0)))</f>
        <v>0</v>
      </c>
      <c r="AH24" s="111">
        <f>+IF(AH$2=$E24,$D24,IF(AH$2&gt;AH$257,0,IF($C24=AH$2,"PAGAR"&amp;" "&amp;TEXT($B24," #.##0,00"),0)))</f>
        <v>0</v>
      </c>
      <c r="AI24" s="111">
        <f>+IF(AI$2=$E24,$D24,IF(AI$2&gt;AI$257,0,IF($C24=AI$2,"PAGAR"&amp;" "&amp;TEXT($B24," #.##0,00"),0)))</f>
        <v>0</v>
      </c>
      <c r="AJ24" s="111">
        <f>+IF(AJ$2=$E24,$D24,IF(AJ$2&gt;AJ$257,0,IF($C24=AJ$2,"PAGAR"&amp;" "&amp;TEXT($B24," #.##0,00"),0)))</f>
        <v>0</v>
      </c>
      <c r="AK24" s="111">
        <f>+IF(AK$2=$E24,$D24,IF(AK$2&gt;AK$257,0,IF($C24=AK$2,"PAGAR"&amp;" "&amp;TEXT($B24," #.##0,00"),0)))</f>
        <v>0</v>
      </c>
      <c r="AL24" s="111">
        <f>+IF(AL$2=$E24,$D24,IF(AL$2&gt;AL$257,0,IF($C24=AL$2,"PAGAR"&amp;" "&amp;TEXT($B24," #.##0,00"),0)))</f>
        <v>0</v>
      </c>
      <c r="AM24" s="111">
        <f>+IF(AM$2=$E24,$D24,IF(AM$2&gt;AM$257,0,IF($C24=AM$2,"PAGAR"&amp;" "&amp;TEXT($B24," #.##0,00"),0)))</f>
        <v>0</v>
      </c>
      <c r="AN24" s="111">
        <f t="shared" ca="1" si="3"/>
        <v>0</v>
      </c>
      <c r="AO24" s="287">
        <f t="shared" si="4"/>
        <v>0</v>
      </c>
      <c r="AQ24" s="237"/>
      <c r="AR24" s="238"/>
      <c r="AS24" s="239"/>
      <c r="AT24" s="240"/>
      <c r="AU24" s="239"/>
      <c r="AV24" s="240"/>
      <c r="AW24" s="239"/>
      <c r="AX24" s="240"/>
      <c r="AY24" s="239"/>
      <c r="AZ24" s="240"/>
      <c r="BA24" s="239"/>
      <c r="BB24" s="240"/>
      <c r="BC24" s="239"/>
      <c r="BD24" s="241"/>
    </row>
    <row r="25" spans="1:64" ht="15.75" thickBot="1" x14ac:dyDescent="0.3">
      <c r="A25" s="213"/>
      <c r="B25" s="92"/>
      <c r="C25" s="93"/>
      <c r="D25" s="97"/>
      <c r="E25" s="166"/>
      <c r="F25" s="84">
        <f ca="1">+IF(TODAY()&lt;DATEVALUE(1&amp;D$1&amp;E$1),0,IF(C25&gt;0,IF(C25-SUM(I$255:AM$255)&lt;0,B25-SUM(I25:AM25,0),0),0))+IF(C25=-1,B25-SUM(J25:AM25))</f>
        <v>0</v>
      </c>
      <c r="G25" s="210" t="str">
        <f t="shared" si="5"/>
        <v>-</v>
      </c>
      <c r="H25" s="14"/>
      <c r="I25" s="111">
        <f>IF(I$2=$E25,$D25,IF(I$2&gt;I$257,0,IF($C25=I$2,"PAGAR"&amp;" "&amp;TEXT($B25," #.##0,00"),IF($C25=-1,"PAGAR"&amp;" "&amp;TEXT($B25," #.##0,00"),0))))</f>
        <v>0</v>
      </c>
      <c r="J25" s="111">
        <f>+IF(J$2=$E25,$D25,IF(J$2&gt;J$257,0,IF($C25=J$2,"PAGAR"&amp;" "&amp;TEXT($B25," #.##0,00"),0)))</f>
        <v>0</v>
      </c>
      <c r="K25" s="111">
        <f>+IF(K$2=$E25,$D25,IF(K$2&gt;K$257,0,IF($C25=K$2,"PAGAR"&amp;" "&amp;TEXT($B25," #.##0,00"),0)))</f>
        <v>0</v>
      </c>
      <c r="L25" s="111">
        <f>+IF(L$2=$E25,$D25,IF(L$2&gt;L$257,0,IF($C25=L$2,"PAGAR"&amp;" "&amp;TEXT($B25," #.##0,00"),0)))</f>
        <v>0</v>
      </c>
      <c r="M25" s="111">
        <f>+IF(M$2=$E25,$D25,IF(M$2&gt;M$257,0,IF($C25=M$2,"PAGAR"&amp;" "&amp;TEXT($B25," #.##0,00"),0)))</f>
        <v>0</v>
      </c>
      <c r="N25" s="111">
        <f>+IF(N$2=$E25,$D25,IF(N$2&gt;N$257,0,IF($C25=N$2,"PAGAR"&amp;" "&amp;TEXT($B25," #.##0,00"),0)))</f>
        <v>0</v>
      </c>
      <c r="O25" s="111">
        <f>+IF(O$2=$E25,$D25,IF(O$2&gt;O$257,0,IF($C25=O$2,"PAGAR"&amp;" "&amp;TEXT($B25," #.##0,00"),0)))</f>
        <v>0</v>
      </c>
      <c r="P25" s="111">
        <f>+IF(P$2=$E25,$D25,IF(P$2&gt;P$257,0,IF($C25=P$2,"PAGAR"&amp;" "&amp;TEXT($B25," #.##0,00"),0)))</f>
        <v>0</v>
      </c>
      <c r="Q25" s="111">
        <f>+IF(Q$2=$E25,$D25,IF(Q$2&gt;Q$257,0,IF($C25=Q$2,"PAGAR"&amp;" "&amp;TEXT($B25," #.##0,00"),0)))</f>
        <v>0</v>
      </c>
      <c r="R25" s="111">
        <f>+IF(R$2=$E25,$D25,IF(R$2&gt;R$257,0,IF($C25=R$2,"PAGAR"&amp;" "&amp;TEXT($B25," #.##0,00"),0)))</f>
        <v>0</v>
      </c>
      <c r="S25" s="111">
        <f>+IF(S$2=$E25,$D25,IF(S$2&gt;S$257,0,IF($C25=S$2,"PAGAR"&amp;" "&amp;TEXT($B25," #.##0,00"),0)))</f>
        <v>0</v>
      </c>
      <c r="T25" s="111">
        <f>+IF(T$2=$E25,$D25,IF(T$2&gt;T$257,0,IF($C25=T$2,"PAGAR"&amp;" "&amp;TEXT($B25," #.##0,00"),0)))</f>
        <v>0</v>
      </c>
      <c r="U25" s="111">
        <f>+IF(U$2=$E25,$D25,IF(U$2&gt;U$257,0,IF($C25=U$2,"PAGAR"&amp;" "&amp;TEXT($B25," #.##0,00"),0)))</f>
        <v>0</v>
      </c>
      <c r="V25" s="111">
        <f>+IF(V$2=$E25,$D25,IF(V$2&gt;V$257,0,IF($C25=V$2,"PAGAR"&amp;" "&amp;TEXT($B25," #.##0,00"),0)))</f>
        <v>0</v>
      </c>
      <c r="W25" s="111">
        <f>+IF(W$2=$E25,$D25,IF(W$2&gt;W$257,0,IF($C25=W$2,"PAGAR"&amp;" "&amp;TEXT($B25," #.##0,00"),0)))</f>
        <v>0</v>
      </c>
      <c r="X25" s="111">
        <f>+IF(X$2=$E25,$D25,IF(X$2&gt;X$257,0,IF($C25=X$2,"PAGAR"&amp;" "&amp;TEXT($B25," #.##0,00"),0)))</f>
        <v>0</v>
      </c>
      <c r="Y25" s="111">
        <f>+IF(Y$2=$E25,$D25,IF(Y$2&gt;Y$257,0,IF($C25=Y$2,"PAGAR"&amp;" "&amp;TEXT($B25," #.##0,00"),0)))</f>
        <v>0</v>
      </c>
      <c r="Z25" s="111">
        <f>+IF(Z$2=$E25,$D25,IF(Z$2&gt;Z$257,0,IF($C25=Z$2,"PAGAR"&amp;" "&amp;TEXT($B25," #.##0,00"),0)))</f>
        <v>0</v>
      </c>
      <c r="AA25" s="111">
        <f>+IF(AA$2=$E25,$D25,IF(AA$2&gt;AA$257,0,IF($C25=AA$2,"PAGAR"&amp;" "&amp;TEXT($B25," #.##0,00"),0)))</f>
        <v>0</v>
      </c>
      <c r="AB25" s="111">
        <f>+IF(AB$2=$E25,$D25,IF(AB$2&gt;AB$257,0,IF($C25=AB$2,"PAGAR"&amp;" "&amp;TEXT($B25," #.##0,00"),0)))</f>
        <v>0</v>
      </c>
      <c r="AC25" s="111">
        <f>+IF(AC$2=$E25,$D25,IF(AC$2&gt;AC$257,0,IF($C25=AC$2,"PAGAR"&amp;" "&amp;TEXT($B25," #.##0,00"),0)))</f>
        <v>0</v>
      </c>
      <c r="AD25" s="111">
        <f>+IF(AD$2=$E25,$D25,IF(AD$2&gt;AD$257,0,IF($C25=AD$2,"PAGAR"&amp;" "&amp;TEXT($B25," #.##0,00"),0)))</f>
        <v>0</v>
      </c>
      <c r="AE25" s="111">
        <f>+IF(AE$2=$E25,$D25,IF(AE$2&gt;AE$257,0,IF($C25=AE$2,"PAGAR"&amp;" "&amp;TEXT($B25," #.##0,00"),0)))</f>
        <v>0</v>
      </c>
      <c r="AF25" s="111">
        <f>+IF(AF$2=$E25,$D25,IF(AF$2&gt;AF$257,0,IF($C25=AF$2,"PAGAR"&amp;" "&amp;TEXT($B25," #.##0,00"),0)))</f>
        <v>0</v>
      </c>
      <c r="AG25" s="111">
        <f>+IF(AG$2=$E25,$D25,IF(AG$2&gt;AG$257,0,IF($C25=AG$2,"PAGAR"&amp;" "&amp;TEXT($B25," #.##0,00"),0)))</f>
        <v>0</v>
      </c>
      <c r="AH25" s="111">
        <f>+IF(AH$2=$E25,$D25,IF(AH$2&gt;AH$257,0,IF($C25=AH$2,"PAGAR"&amp;" "&amp;TEXT($B25," #.##0,00"),0)))</f>
        <v>0</v>
      </c>
      <c r="AI25" s="111">
        <f>+IF(AI$2=$E25,$D25,IF(AI$2&gt;AI$257,0,IF($C25=AI$2,"PAGAR"&amp;" "&amp;TEXT($B25," #.##0,00"),0)))</f>
        <v>0</v>
      </c>
      <c r="AJ25" s="111">
        <f>+IF(AJ$2=$E25,$D25,IF(AJ$2&gt;AJ$257,0,IF($C25=AJ$2,"PAGAR"&amp;" "&amp;TEXT($B25," #.##0,00"),0)))</f>
        <v>0</v>
      </c>
      <c r="AK25" s="111">
        <f>+IF(AK$2=$E25,$D25,IF(AK$2&gt;AK$257,0,IF($C25=AK$2,"PAGAR"&amp;" "&amp;TEXT($B25," #.##0,00"),0)))</f>
        <v>0</v>
      </c>
      <c r="AL25" s="111">
        <f>+IF(AL$2=$E25,$D25,IF(AL$2&gt;AL$257,0,IF($C25=AL$2,"PAGAR"&amp;" "&amp;TEXT($B25," #.##0,00"),0)))</f>
        <v>0</v>
      </c>
      <c r="AM25" s="111">
        <f>+IF(AM$2=$E25,$D25,IF(AM$2&gt;AM$257,0,IF($C25=AM$2,"PAGAR"&amp;" "&amp;TEXT($B25," #.##0,00"),0)))</f>
        <v>0</v>
      </c>
      <c r="AN25" s="171">
        <f t="shared" ca="1" si="3"/>
        <v>0</v>
      </c>
      <c r="AO25" s="287">
        <f t="shared" si="4"/>
        <v>0</v>
      </c>
      <c r="AQ25" s="233"/>
      <c r="AR25" s="231"/>
      <c r="AS25" s="235"/>
      <c r="AT25" s="228"/>
      <c r="AU25" s="235"/>
      <c r="AV25" s="228"/>
      <c r="AW25" s="235"/>
      <c r="AX25" s="228"/>
      <c r="AY25" s="235"/>
      <c r="AZ25" s="228"/>
      <c r="BA25" s="235"/>
      <c r="BB25" s="228"/>
      <c r="BC25" s="235"/>
      <c r="BD25" s="229"/>
    </row>
    <row r="26" spans="1:64" ht="18.75" x14ac:dyDescent="0.3">
      <c r="A26" s="112" t="s">
        <v>76</v>
      </c>
      <c r="B26" s="6">
        <f>+SUM(B5:B25)</f>
        <v>17706.700000000008</v>
      </c>
      <c r="C26" s="81"/>
      <c r="D26" s="6">
        <f>+SUM(D5:D25)</f>
        <v>8190.1399999999994</v>
      </c>
      <c r="E26" s="81"/>
      <c r="F26" s="195">
        <f ca="1">+SUMIF(F5:F25,"&gt;0")</f>
        <v>6499.1999999999989</v>
      </c>
      <c r="G26" s="3">
        <f t="shared" si="5"/>
        <v>0.46254468647461106</v>
      </c>
      <c r="H26" s="5"/>
      <c r="I26" s="2">
        <f>+PLAN2!H27</f>
        <v>0</v>
      </c>
      <c r="J26" s="2">
        <f>+PLAN2!I27</f>
        <v>6650</v>
      </c>
      <c r="K26" s="2">
        <f>+PLAN2!J27</f>
        <v>65.900000000000006</v>
      </c>
      <c r="L26" s="2">
        <f>+PLAN2!K27</f>
        <v>22.99</v>
      </c>
      <c r="M26" s="2">
        <f>+PLAN2!L27</f>
        <v>5.9</v>
      </c>
      <c r="N26" s="2">
        <f>+PLAN2!M27</f>
        <v>0</v>
      </c>
      <c r="O26" s="2">
        <f>+PLAN2!N27</f>
        <v>6404.41</v>
      </c>
      <c r="P26" s="2">
        <f>+PLAN2!O27</f>
        <v>0</v>
      </c>
      <c r="Q26" s="2">
        <f>+PLAN2!P27</f>
        <v>0</v>
      </c>
      <c r="R26" s="2">
        <f>+PLAN2!Q27</f>
        <v>0</v>
      </c>
      <c r="S26" s="2">
        <f>+PLAN2!R27</f>
        <v>0</v>
      </c>
      <c r="T26" s="2">
        <f>+PLAN2!S27</f>
        <v>0</v>
      </c>
      <c r="U26" s="2">
        <f>+PLAN2!T27</f>
        <v>0</v>
      </c>
      <c r="V26" s="2">
        <f>+PLAN2!U27</f>
        <v>0</v>
      </c>
      <c r="W26" s="2">
        <f>+PLAN2!V27</f>
        <v>0</v>
      </c>
      <c r="X26" s="2">
        <f>+PLAN2!W27</f>
        <v>0</v>
      </c>
      <c r="Y26" s="2">
        <f>+PLAN2!X27</f>
        <v>0</v>
      </c>
      <c r="Z26" s="2">
        <f>+PLAN2!Y27</f>
        <v>0</v>
      </c>
      <c r="AA26" s="2">
        <f>+PLAN2!Z27</f>
        <v>0</v>
      </c>
      <c r="AB26" s="2">
        <f>+PLAN2!AA27</f>
        <v>0</v>
      </c>
      <c r="AC26" s="2">
        <f>+PLAN2!AB27</f>
        <v>0</v>
      </c>
      <c r="AD26" s="2">
        <f>+PLAN2!AC27</f>
        <v>96.99</v>
      </c>
      <c r="AE26" s="2">
        <f>+PLAN2!AD27</f>
        <v>0</v>
      </c>
      <c r="AF26" s="2">
        <f>+PLAN2!AE27</f>
        <v>0</v>
      </c>
      <c r="AG26" s="2">
        <f>+PLAN2!AF27</f>
        <v>1445.5900000000001</v>
      </c>
      <c r="AH26" s="2">
        <f>+PLAN2!AG27</f>
        <v>0</v>
      </c>
      <c r="AI26" s="2">
        <f>+PLAN2!AH27</f>
        <v>0</v>
      </c>
      <c r="AJ26" s="2">
        <f>+PLAN2!AI27</f>
        <v>2244.85</v>
      </c>
      <c r="AK26" s="2">
        <f>+PLAN2!AJ27</f>
        <v>0</v>
      </c>
      <c r="AL26" s="2">
        <f>+PLAN2!AK27</f>
        <v>0</v>
      </c>
      <c r="AM26" s="2">
        <f>+PLAN2!AL27</f>
        <v>0</v>
      </c>
      <c r="AN26" s="2">
        <f ca="1">SUM(AN5:AN25)</f>
        <v>0</v>
      </c>
      <c r="AO26" s="288"/>
      <c r="AQ26" s="302">
        <f>+W2</f>
        <v>15</v>
      </c>
      <c r="AR26" s="303"/>
      <c r="AS26" s="304">
        <f>+X2</f>
        <v>16</v>
      </c>
      <c r="AT26" s="305"/>
      <c r="AU26" s="306">
        <f>+Y2</f>
        <v>17</v>
      </c>
      <c r="AV26" s="303"/>
      <c r="AW26" s="304">
        <f>+Z2</f>
        <v>18</v>
      </c>
      <c r="AX26" s="305"/>
      <c r="AY26" s="306">
        <f>+AA2</f>
        <v>19</v>
      </c>
      <c r="AZ26" s="303"/>
      <c r="BA26" s="304">
        <f>+AB2</f>
        <v>20</v>
      </c>
      <c r="BB26" s="305"/>
      <c r="BC26" s="306">
        <f>+AC2</f>
        <v>21</v>
      </c>
      <c r="BD26" s="307"/>
    </row>
    <row r="27" spans="1:64" ht="15" customHeight="1" x14ac:dyDescent="0.25">
      <c r="A27" s="211" t="s">
        <v>193</v>
      </c>
      <c r="B27" s="109"/>
      <c r="C27" s="109"/>
      <c r="D27" s="109"/>
      <c r="E27" s="109"/>
      <c r="F27" s="109"/>
      <c r="G27" s="109"/>
      <c r="H27" s="11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10"/>
      <c r="AN27" s="13"/>
      <c r="AO27" s="285"/>
      <c r="AQ27" s="232" t="str" cm="1">
        <f t="array" ref="AQ27:AQ34">_xlfn._xlws.FILTER($A$5:$A$152,$C$5:$C$152=AQ26,"livre")</f>
        <v>Cristiane</v>
      </c>
      <c r="AR27" s="230" cm="1">
        <f t="array" ref="AR27:AR34">_xlfn._xlws.FILTER($B$5:$B$152,$C$5:$C$152=AQ26,"livre")</f>
        <v>940</v>
      </c>
      <c r="AS27" s="234" t="str" cm="1">
        <f t="array" ref="AS27">_xlfn._xlws.FILTER($A$5:$A$152,$C$5:$C$152=AS26,"livre")</f>
        <v>livre</v>
      </c>
      <c r="AT27" s="225" t="str" cm="1">
        <f t="array" ref="AT27">_xlfn._xlws.FILTER($B$5:$B$152,$C$5:$C$152=AS26,"livre")</f>
        <v>livre</v>
      </c>
      <c r="AU27" s="234" t="str" cm="1">
        <f t="array" ref="AU27">_xlfn._xlws.FILTER($A$5:$A$152,$C$5:$C$152=AU26,"livre")</f>
        <v>Convênio Tina</v>
      </c>
      <c r="AV27" s="225" cm="1">
        <f t="array" ref="AV27">_xlfn._xlws.FILTER($B$5:$B$152,$C$5:$C$152=AU26,"livre")</f>
        <v>1010</v>
      </c>
      <c r="AW27" s="234" t="str" cm="1">
        <f t="array" ref="AW27">_xlfn._xlws.FILTER($A$5:$A$152,$C$5:$C$152=AW26,"livre")</f>
        <v>livre</v>
      </c>
      <c r="AX27" s="225" t="str" cm="1">
        <f t="array" ref="AX27">_xlfn._xlws.FILTER($B$5:$B$152,$C$5:$C$152=AW26,"livre")</f>
        <v>livre</v>
      </c>
      <c r="AY27" s="234" t="str" cm="1">
        <f t="array" ref="AY27">_xlfn._xlws.FILTER($A$5:$A$152,$C$5:$C$152=AY26,"livre")</f>
        <v>Frees + R$400 Josiane</v>
      </c>
      <c r="AZ27" s="226" cm="1">
        <f t="array" ref="AZ27">_xlfn._xlws.FILTER($B$5:$B$152,$C$5:$C$152=AY26,"livre")</f>
        <v>6900</v>
      </c>
      <c r="BA27" s="236" t="str" cm="1">
        <f t="array" ref="BA27:BA29">_xlfn._xlws.FILTER($A$5:$A$152,$C$5:$C$152=BA26,"livre")</f>
        <v>Francisca</v>
      </c>
      <c r="BB27" s="226" cm="1">
        <f t="array" ref="BB27:BB29">_xlfn._xlws.FILTER($B$5:$B$152,$C$5:$C$152=BA26,"livre")</f>
        <v>720</v>
      </c>
      <c r="BC27" s="236" t="str" cm="1">
        <f t="array" ref="BC27">_xlfn._xlws.FILTER($A$5:$A$152,$C$5:$C$152=BC26,"livre")</f>
        <v>livre</v>
      </c>
      <c r="BD27" s="227" t="str" cm="1">
        <f t="array" ref="BD27">_xlfn._xlws.FILTER($B$5:$B$152,$C$5:$C$152=BC26,"livre")</f>
        <v>livre</v>
      </c>
    </row>
    <row r="28" spans="1:64" x14ac:dyDescent="0.25">
      <c r="A28" s="212" t="s">
        <v>192</v>
      </c>
      <c r="B28" s="90">
        <v>2945.42</v>
      </c>
      <c r="C28" s="91">
        <v>11</v>
      </c>
      <c r="D28" s="97"/>
      <c r="E28" s="166"/>
      <c r="F28" s="84">
        <f ca="1">+IF(TODAY()&lt;DATEVALUE(1&amp;D$1&amp;E$1),0,IF(C28&gt;0,IF(C28-SUM(I$255:AM$255)&lt;0,B28-SUM(I28:AM28,0),0),0))+IF(C28=-1,B28-SUM(J28:AM28))</f>
        <v>2945.42</v>
      </c>
      <c r="G28" s="1">
        <f t="shared" ref="G28:G44" si="6">+IF(B28=0,"-",D28/B28)</f>
        <v>0</v>
      </c>
      <c r="H28" s="14">
        <f>IF(H$2=$E28,$D28,IF(H$2&gt;H$257,0,IF($C28=H$2,"PAGAR"&amp;" "&amp;TEXT($B28," #.##0,00"),IF($C28=-1,"PAGAR"&amp;" "&amp;TEXT($B28," #.##0,00"),0))))</f>
        <v>0</v>
      </c>
      <c r="I28" s="111">
        <f>IF(I$2=$E28,$D28,IF(I$2&gt;I$257,0,IF($C28=I$2,"PAGAR"&amp;" "&amp;TEXT($B28," #.##0,00"),IF($C28=-1,"PAGAR"&amp;" "&amp;TEXT($B28," #.##0,00"),0))))</f>
        <v>0</v>
      </c>
      <c r="J28" s="111">
        <f>+IF(J$2=$E28,$D28,IF(J$2&gt;J$257,0,IF($C28=J$2,"PAGAR"&amp;" "&amp;TEXT($B28," #.##0,00"),0)))</f>
        <v>0</v>
      </c>
      <c r="K28" s="111">
        <f>+IF(K$2=$E28,$D28,IF(K$2&gt;K$257,0,IF($C28=K$2,"PAGAR"&amp;" "&amp;TEXT($B28," #.##0,00"),0)))</f>
        <v>0</v>
      </c>
      <c r="L28" s="111">
        <f>+IF(L$2=$E28,$D28,IF(L$2&gt;L$257,0,IF($C28=L$2,"PAGAR"&amp;" "&amp;TEXT($B28," #.##0,00"),0)))</f>
        <v>0</v>
      </c>
      <c r="M28" s="111">
        <f>+IF(M$2=$E28,$D28,IF(M$2&gt;M$257,0,IF($C28=M$2,"PAGAR"&amp;" "&amp;TEXT($B28," #.##0,00"),0)))</f>
        <v>0</v>
      </c>
      <c r="N28" s="111">
        <f>+IF(N$2=$E28,$D28,IF(N$2&gt;N$257,0,IF($C28=N$2,"PAGAR"&amp;" "&amp;TEXT($B28," #.##0,00"),0)))</f>
        <v>0</v>
      </c>
      <c r="O28" s="111">
        <f>+IF(O$2=$E28,$D28,IF(O$2&gt;O$257,0,IF($C28=O$2,"PAGAR"&amp;" "&amp;TEXT($B28," #.##0,00"),0)))</f>
        <v>0</v>
      </c>
      <c r="P28" s="111">
        <f>+IF(P$2=$E28,$D28,IF(P$2&gt;P$257,0,IF($C28=P$2,"PAGAR"&amp;" "&amp;TEXT($B28," #.##0,00"),0)))</f>
        <v>0</v>
      </c>
      <c r="Q28" s="111">
        <f>+IF(Q$2=$E28,$D28,IF(Q$2&gt;Q$257,0,IF($C28=Q$2,"PAGAR"&amp;" "&amp;TEXT($B28," #.##0,00"),0)))</f>
        <v>0</v>
      </c>
      <c r="R28" s="111">
        <f>+IF(R$2=$E28,$D28,IF(R$2&gt;R$257,0,IF($C28=R$2,"PAGAR"&amp;" "&amp;TEXT($B28," #.##0,00"),0)))</f>
        <v>0</v>
      </c>
      <c r="S28" s="111" t="str">
        <f>+IF(S$2=$E28,$D28,IF(S$2&gt;S$257,0,IF($C28=S$2,"PAGAR"&amp;" "&amp;TEXT($B28," #.##0,00"),0)))</f>
        <v>PAGAR  2.945,42</v>
      </c>
      <c r="T28" s="111">
        <f>+IF(T$2=$E28,$D28,IF(T$2&gt;T$257,0,IF($C28=T$2,"PAGAR"&amp;" "&amp;TEXT($B28," #.##0,00"),0)))</f>
        <v>0</v>
      </c>
      <c r="U28" s="111">
        <f>+IF(U$2=$E28,$D28,IF(U$2&gt;U$257,0,IF($C28=U$2,"PAGAR"&amp;" "&amp;TEXT($B28," #.##0,00"),0)))</f>
        <v>0</v>
      </c>
      <c r="V28" s="111">
        <f>+IF(V$2=$E28,$D28,IF(V$2&gt;V$257,0,IF($C28=V$2,"PAGAR"&amp;" "&amp;TEXT($B28," #.##0,00"),0)))</f>
        <v>0</v>
      </c>
      <c r="W28" s="111">
        <f>+IF(W$2=$E28,$D28,IF(W$2&gt;W$257,0,IF($C28=W$2,"PAGAR"&amp;" "&amp;TEXT($B28," #.##0,00"),0)))</f>
        <v>0</v>
      </c>
      <c r="X28" s="111">
        <f>+IF(X$2=$E28,$D28,IF(X$2&gt;X$257,0,IF($C28=X$2,"PAGAR"&amp;" "&amp;TEXT($B28," #.##0,00"),0)))</f>
        <v>0</v>
      </c>
      <c r="Y28" s="111">
        <f>+IF(Y$2=$E28,$D28,IF(Y$2&gt;Y$257,0,IF($C28=Y$2,"PAGAR"&amp;" "&amp;TEXT($B28," #.##0,00"),0)))</f>
        <v>0</v>
      </c>
      <c r="Z28" s="111">
        <f>+IF(Z$2=$E28,$D28,IF(Z$2&gt;Z$257,0,IF($C28=Z$2,"PAGAR"&amp;" "&amp;TEXT($B28," #.##0,00"),0)))</f>
        <v>0</v>
      </c>
      <c r="AA28" s="111">
        <f>+IF(AA$2=$E28,$D28,IF(AA$2&gt;AA$257,0,IF($C28=AA$2,"PAGAR"&amp;" "&amp;TEXT($B28," #.##0,00"),0)))</f>
        <v>0</v>
      </c>
      <c r="AB28" s="111">
        <f>+IF(AB$2=$E28,$D28,IF(AB$2&gt;AB$257,0,IF($C28=AB$2,"PAGAR"&amp;" "&amp;TEXT($B28," #.##0,00"),0)))</f>
        <v>0</v>
      </c>
      <c r="AC28" s="111">
        <f>+IF(AC$2=$E28,$D28,IF(AC$2&gt;AC$257,0,IF($C28=AC$2,"PAGAR"&amp;" "&amp;TEXT($B28," #.##0,00"),0)))</f>
        <v>0</v>
      </c>
      <c r="AD28" s="111">
        <f>+IF(AD$2=$E28,$D28,IF(AD$2&gt;AD$257,0,IF($C28=AD$2,"PAGAR"&amp;" "&amp;TEXT($B28," #.##0,00"),0)))</f>
        <v>0</v>
      </c>
      <c r="AE28" s="111">
        <f>+IF(AE$2=$E28,$D28,IF(AE$2&gt;AE$257,0,IF($C28=AE$2,"PAGAR"&amp;" "&amp;TEXT($B28," #.##0,00"),0)))</f>
        <v>0</v>
      </c>
      <c r="AF28" s="111">
        <f>+IF(AF$2=$E28,$D28,IF(AF$2&gt;AF$257,0,IF($C28=AF$2,"PAGAR"&amp;" "&amp;TEXT($B28," #.##0,00"),0)))</f>
        <v>0</v>
      </c>
      <c r="AG28" s="111">
        <f>+IF(AG$2=$E28,$D28,IF(AG$2&gt;AG$257,0,IF($C28=AG$2,"PAGAR"&amp;" "&amp;TEXT($B28," #.##0,00"),0)))</f>
        <v>0</v>
      </c>
      <c r="AH28" s="111">
        <f>+IF(AH$2=$E28,$D28,IF(AH$2&gt;AH$257,0,IF($C28=AH$2,"PAGAR"&amp;" "&amp;TEXT($B28," #.##0,00"),0)))</f>
        <v>0</v>
      </c>
      <c r="AI28" s="111">
        <f>+IF(AI$2=$E28,$D28,IF(AI$2&gt;AI$257,0,IF($C28=AI$2,"PAGAR"&amp;" "&amp;TEXT($B28," #.##0,00"),0)))</f>
        <v>0</v>
      </c>
      <c r="AJ28" s="111">
        <f>+IF(AJ$2=$E28,$D28,IF(AJ$2&gt;AJ$257,0,IF($C28=AJ$2,"PAGAR"&amp;" "&amp;TEXT($B28," #.##0,00"),0)))</f>
        <v>0</v>
      </c>
      <c r="AK28" s="111">
        <f>+IF(AK$2=$E28,$D28,IF(AK$2&gt;AK$257,0,IF($C28=AK$2,"PAGAR"&amp;" "&amp;TEXT($B28," #.##0,00"),0)))</f>
        <v>0</v>
      </c>
      <c r="AL28" s="111">
        <f>+IF(AL$2=$E28,$D28,IF(AL$2&gt;AL$257,0,IF($C28=AL$2,"PAGAR"&amp;" "&amp;TEXT($B28," #.##0,00"),0)))</f>
        <v>0</v>
      </c>
      <c r="AM28" s="111">
        <f>+IF(AM$2=$E28,$D28,IF(AM$2&gt;AM$257,0,IF($C28=AM$2,"PAGAR"&amp;" "&amp;TEXT($B28," #.##0,00"),0)))</f>
        <v>0</v>
      </c>
      <c r="AN28" s="111">
        <f t="shared" ref="AN28:AN43" ca="1" si="7">+IF(F28&lt;0,-F28,0)</f>
        <v>0</v>
      </c>
      <c r="AO28" s="287">
        <f t="shared" ref="AO28:AO43" si="8">+IF(AND(C28=0,B28&gt;0),B28,0)</f>
        <v>0</v>
      </c>
      <c r="AQ28" s="250" t="str">
        <v>Bônus Adriano</v>
      </c>
      <c r="AR28" s="251">
        <v>500</v>
      </c>
      <c r="AS28" s="245"/>
      <c r="AT28" s="246"/>
      <c r="AU28" s="245"/>
      <c r="AV28" s="252"/>
      <c r="AW28" s="245"/>
      <c r="AX28" s="246"/>
      <c r="AY28" s="245"/>
      <c r="AZ28" s="247"/>
      <c r="BA28" s="248" t="str">
        <v>4 Lock -- adiant</v>
      </c>
      <c r="BB28" s="247">
        <v>12000</v>
      </c>
      <c r="BC28" s="248"/>
      <c r="BD28" s="249"/>
    </row>
    <row r="29" spans="1:64" x14ac:dyDescent="0.25">
      <c r="A29" s="212" t="s">
        <v>194</v>
      </c>
      <c r="B29" s="90">
        <v>2775</v>
      </c>
      <c r="C29" s="91">
        <v>26</v>
      </c>
      <c r="D29" s="97"/>
      <c r="E29" s="166"/>
      <c r="F29" s="84">
        <f ca="1">+IF(TODAY()&lt;DATEVALUE(1&amp;D$1&amp;E$1),0,IF(C29&gt;0,IF(C29-SUM(I$255:AM$255)&lt;0,B29-SUM(I29:AM29,0),0),0))+IF(C29=-1,B29-SUM(J29:AM29))</f>
        <v>0</v>
      </c>
      <c r="G29" s="1">
        <f t="shared" si="6"/>
        <v>0</v>
      </c>
      <c r="H29" s="14">
        <f>IF(H$2=$E29,$D29,IF(H$2&gt;H$257,0,IF($C29=H$2,"PAGAR"&amp;" "&amp;TEXT($B29," #.##0,00"),IF($C29=-1,"PAGAR"&amp;" "&amp;TEXT($B29," #.##0,00"),0))))</f>
        <v>0</v>
      </c>
      <c r="I29" s="111">
        <f>IF(I$2=$E29,$D29,IF(I$2&gt;I$257,0,IF($C29=I$2,"PAGAR"&amp;" "&amp;TEXT($B29," #.##0,00"),IF($C29=-1,"PAGAR"&amp;" "&amp;TEXT($B29," #.##0,00"),0))))</f>
        <v>0</v>
      </c>
      <c r="J29" s="111">
        <f>+IF(J$2=$E29,$D29,IF(J$2&gt;J$257,0,IF($C29=J$2,"PAGAR"&amp;" "&amp;TEXT($B29," #.##0,00"),0)))</f>
        <v>0</v>
      </c>
      <c r="K29" s="111">
        <f>+IF(K$2=$E29,$D29,IF(K$2&gt;K$257,0,IF($C29=K$2,"PAGAR"&amp;" "&amp;TEXT($B29," #.##0,00"),0)))</f>
        <v>0</v>
      </c>
      <c r="L29" s="111">
        <f>+IF(L$2=$E29,$D29,IF(L$2&gt;L$257,0,IF($C29=L$2,"PAGAR"&amp;" "&amp;TEXT($B29," #.##0,00"),0)))</f>
        <v>0</v>
      </c>
      <c r="M29" s="111">
        <f>+IF(M$2=$E29,$D29,IF(M$2&gt;M$257,0,IF($C29=M$2,"PAGAR"&amp;" "&amp;TEXT($B29," #.##0,00"),0)))</f>
        <v>0</v>
      </c>
      <c r="N29" s="111">
        <f>+IF(N$2=$E29,$D29,IF(N$2&gt;N$257,0,IF($C29=N$2,"PAGAR"&amp;" "&amp;TEXT($B29," #.##0,00"),0)))</f>
        <v>0</v>
      </c>
      <c r="O29" s="111">
        <f>+IF(O$2=$E29,$D29,IF(O$2&gt;O$257,0,IF($C29=O$2,"PAGAR"&amp;" "&amp;TEXT($B29," #.##0,00"),0)))</f>
        <v>0</v>
      </c>
      <c r="P29" s="111">
        <f>+IF(P$2=$E29,$D29,IF(P$2&gt;P$257,0,IF($C29=P$2,"PAGAR"&amp;" "&amp;TEXT($B29," #.##0,00"),0)))</f>
        <v>0</v>
      </c>
      <c r="Q29" s="111">
        <f>+IF(Q$2=$E29,$D29,IF(Q$2&gt;Q$257,0,IF($C29=Q$2,"PAGAR"&amp;" "&amp;TEXT($B29," #.##0,00"),0)))</f>
        <v>0</v>
      </c>
      <c r="R29" s="111">
        <f>+IF(R$2=$E29,$D29,IF(R$2&gt;R$257,0,IF($C29=R$2,"PAGAR"&amp;" "&amp;TEXT($B29," #.##0,00"),0)))</f>
        <v>0</v>
      </c>
      <c r="S29" s="111">
        <f>+IF(S$2=$E29,$D29,IF(S$2&gt;S$257,0,IF($C29=S$2,"PAGAR"&amp;" "&amp;TEXT($B29," #.##0,00"),0)))</f>
        <v>0</v>
      </c>
      <c r="T29" s="111">
        <f>+IF(T$2=$E29,$D29,IF(T$2&gt;T$257,0,IF($C29=T$2,"PAGAR"&amp;" "&amp;TEXT($B29," #.##0,00"),0)))</f>
        <v>0</v>
      </c>
      <c r="U29" s="111">
        <f>+IF(U$2=$E29,$D29,IF(U$2&gt;U$257,0,IF($C29=U$2,"PAGAR"&amp;" "&amp;TEXT($B29," #.##0,00"),0)))</f>
        <v>0</v>
      </c>
      <c r="V29" s="111">
        <f>+IF(V$2=$E29,$D29,IF(V$2&gt;V$257,0,IF($C29=V$2,"PAGAR"&amp;" "&amp;TEXT($B29," #.##0,00"),0)))</f>
        <v>0</v>
      </c>
      <c r="W29" s="111">
        <f>+IF(W$2=$E29,$D29,IF(W$2&gt;W$257,0,IF($C29=W$2,"PAGAR"&amp;" "&amp;TEXT($B29," #.##0,00"),0)))</f>
        <v>0</v>
      </c>
      <c r="X29" s="111">
        <f>+IF(X$2=$E29,$D29,IF(X$2&gt;X$257,0,IF($C29=X$2,"PAGAR"&amp;" "&amp;TEXT($B29," #.##0,00"),0)))</f>
        <v>0</v>
      </c>
      <c r="Y29" s="111">
        <f>+IF(Y$2=$E29,$D29,IF(Y$2&gt;Y$257,0,IF($C29=Y$2,"PAGAR"&amp;" "&amp;TEXT($B29," #.##0,00"),0)))</f>
        <v>0</v>
      </c>
      <c r="Z29" s="111">
        <f>+IF(Z$2=$E29,$D29,IF(Z$2&gt;Z$257,0,IF($C29=Z$2,"PAGAR"&amp;" "&amp;TEXT($B29," #.##0,00"),0)))</f>
        <v>0</v>
      </c>
      <c r="AA29" s="111">
        <f>+IF(AA$2=$E29,$D29,IF(AA$2&gt;AA$257,0,IF($C29=AA$2,"PAGAR"&amp;" "&amp;TEXT($B29," #.##0,00"),0)))</f>
        <v>0</v>
      </c>
      <c r="AB29" s="111">
        <f>+IF(AB$2=$E29,$D29,IF(AB$2&gt;AB$257,0,IF($C29=AB$2,"PAGAR"&amp;" "&amp;TEXT($B29," #.##0,00"),0)))</f>
        <v>0</v>
      </c>
      <c r="AC29" s="111">
        <f>+IF(AC$2=$E29,$D29,IF(AC$2&gt;AC$257,0,IF($C29=AC$2,"PAGAR"&amp;" "&amp;TEXT($B29," #.##0,00"),0)))</f>
        <v>0</v>
      </c>
      <c r="AD29" s="111">
        <f>+IF(AD$2=$E29,$D29,IF(AD$2&gt;AD$257,0,IF($C29=AD$2,"PAGAR"&amp;" "&amp;TEXT($B29," #.##0,00"),0)))</f>
        <v>0</v>
      </c>
      <c r="AE29" s="111">
        <f>+IF(AE$2=$E29,$D29,IF(AE$2&gt;AE$257,0,IF($C29=AE$2,"PAGAR"&amp;" "&amp;TEXT($B29," #.##0,00"),0)))</f>
        <v>0</v>
      </c>
      <c r="AF29" s="111">
        <f>+IF(AF$2=$E29,$D29,IF(AF$2&gt;AF$257,0,IF($C29=AF$2,"PAGAR"&amp;" "&amp;TEXT($B29," #.##0,00"),0)))</f>
        <v>0</v>
      </c>
      <c r="AG29" s="111">
        <f>+IF(AG$2=$E29,$D29,IF(AG$2&gt;AG$257,0,IF($C29=AG$2,"PAGAR"&amp;" "&amp;TEXT($B29," #.##0,00"),0)))</f>
        <v>0</v>
      </c>
      <c r="AH29" s="111" t="str">
        <f>+IF(AH$2=$E29,$D29,IF(AH$2&gt;AH$257,0,IF($C29=AH$2,"PAGAR"&amp;" "&amp;TEXT($B29," #.##0,00"),0)))</f>
        <v>PAGAR  2.775,00</v>
      </c>
      <c r="AI29" s="111">
        <f>+IF(AI$2=$E29,$D29,IF(AI$2&gt;AI$257,0,IF($C29=AI$2,"PAGAR"&amp;" "&amp;TEXT($B29," #.##0,00"),0)))</f>
        <v>0</v>
      </c>
      <c r="AJ29" s="111">
        <f>+IF(AJ$2=$E29,$D29,IF(AJ$2&gt;AJ$257,0,IF($C29=AJ$2,"PAGAR"&amp;" "&amp;TEXT($B29," #.##0,00"),0)))</f>
        <v>0</v>
      </c>
      <c r="AK29" s="111">
        <f>+IF(AK$2=$E29,$D29,IF(AK$2&gt;AK$257,0,IF($C29=AK$2,"PAGAR"&amp;" "&amp;TEXT($B29," #.##0,00"),0)))</f>
        <v>0</v>
      </c>
      <c r="AL29" s="111">
        <f>+IF(AL$2=$E29,$D29,IF(AL$2&gt;AL$257,0,IF($C29=AL$2,"PAGAR"&amp;" "&amp;TEXT($B29," #.##0,00"),0)))</f>
        <v>0</v>
      </c>
      <c r="AM29" s="111">
        <f>+IF(AM$2=$E29,$D29,IF(AM$2&gt;AM$257,0,IF($C29=AM$2,"PAGAR"&amp;" "&amp;TEXT($B29," #.##0,00"),0)))</f>
        <v>0</v>
      </c>
      <c r="AN29" s="111">
        <f t="shared" ca="1" si="7"/>
        <v>0</v>
      </c>
      <c r="AO29" s="287">
        <f t="shared" si="8"/>
        <v>0</v>
      </c>
      <c r="AQ29" s="232" t="str">
        <v>Bônus Tamara</v>
      </c>
      <c r="AR29" s="230">
        <v>569</v>
      </c>
      <c r="AS29" s="234"/>
      <c r="AT29" s="225"/>
      <c r="AU29" s="234"/>
      <c r="AV29" s="225"/>
      <c r="AW29" s="234"/>
      <c r="AX29" s="225"/>
      <c r="AY29" s="234"/>
      <c r="AZ29" s="226"/>
      <c r="BA29" s="236" t="str">
        <v>Perfecto -- adiant</v>
      </c>
      <c r="BB29" s="226">
        <v>1500</v>
      </c>
      <c r="BC29" s="236"/>
      <c r="BD29" s="227"/>
      <c r="BK29">
        <f t="shared" ref="BK29:BL29" si="9">+AK2</f>
        <v>29</v>
      </c>
      <c r="BL29">
        <f t="shared" si="9"/>
        <v>30</v>
      </c>
    </row>
    <row r="30" spans="1:64" x14ac:dyDescent="0.25">
      <c r="A30" s="212" t="s">
        <v>195</v>
      </c>
      <c r="B30" s="90">
        <v>940</v>
      </c>
      <c r="C30" s="91">
        <v>15</v>
      </c>
      <c r="D30" s="97"/>
      <c r="E30" s="166"/>
      <c r="F30" s="84">
        <f ca="1">+IF(TODAY()&lt;DATEVALUE(1&amp;D$1&amp;E$1),0,IF(C30&gt;0,IF(C30-SUM(I$255:AM$255)&lt;0,B30-SUM(I30:AM30,0),0),0))+IF(C30=-1,B30-SUM(J30:AM30))</f>
        <v>0</v>
      </c>
      <c r="G30" s="1">
        <f t="shared" si="6"/>
        <v>0</v>
      </c>
      <c r="H30" s="14">
        <f>IF(H$2=$E30,$D30,IF(H$2&gt;H$257,0,IF($C30=H$2,"PAGAR"&amp;" "&amp;TEXT($B30," #.##0,00"),IF($C30=-1,"PAGAR"&amp;" "&amp;TEXT($B30," #.##0,00"),0))))</f>
        <v>0</v>
      </c>
      <c r="I30" s="111">
        <f>IF(I$2=$E30,$D30,IF(I$2&gt;I$257,0,IF($C30=I$2,"PAGAR"&amp;" "&amp;TEXT($B30," #.##0,00"),IF($C30=-1,"PAGAR"&amp;" "&amp;TEXT($B30," #.##0,00"),0))))</f>
        <v>0</v>
      </c>
      <c r="J30" s="111">
        <f>+IF(J$2=$E30,$D30,IF(J$2&gt;J$257,0,IF($C30=J$2,"PAGAR"&amp;" "&amp;TEXT($B30," #.##0,00"),0)))</f>
        <v>0</v>
      </c>
      <c r="K30" s="111">
        <f>+IF(K$2=$E30,$D30,IF(K$2&gt;K$257,0,IF($C30=K$2,"PAGAR"&amp;" "&amp;TEXT($B30," #.##0,00"),0)))</f>
        <v>0</v>
      </c>
      <c r="L30" s="111">
        <f>+IF(L$2=$E30,$D30,IF(L$2&gt;L$257,0,IF($C30=L$2,"PAGAR"&amp;" "&amp;TEXT($B30," #.##0,00"),0)))</f>
        <v>0</v>
      </c>
      <c r="M30" s="111">
        <f>+IF(M$2=$E30,$D30,IF(M$2&gt;M$257,0,IF($C30=M$2,"PAGAR"&amp;" "&amp;TEXT($B30," #.##0,00"),0)))</f>
        <v>0</v>
      </c>
      <c r="N30" s="111">
        <f>+IF(N$2=$E30,$D30,IF(N$2&gt;N$257,0,IF($C30=N$2,"PAGAR"&amp;" "&amp;TEXT($B30," #.##0,00"),0)))</f>
        <v>0</v>
      </c>
      <c r="O30" s="111">
        <f>+IF(O$2=$E30,$D30,IF(O$2&gt;O$257,0,IF($C30=O$2,"PAGAR"&amp;" "&amp;TEXT($B30," #.##0,00"),0)))</f>
        <v>0</v>
      </c>
      <c r="P30" s="111">
        <f>+IF(P$2=$E30,$D30,IF(P$2&gt;P$257,0,IF($C30=P$2,"PAGAR"&amp;" "&amp;TEXT($B30," #.##0,00"),0)))</f>
        <v>0</v>
      </c>
      <c r="Q30" s="111">
        <f>+IF(Q$2=$E30,$D30,IF(Q$2&gt;Q$257,0,IF($C30=Q$2,"PAGAR"&amp;" "&amp;TEXT($B30," #.##0,00"),0)))</f>
        <v>0</v>
      </c>
      <c r="R30" s="111">
        <f>+IF(R$2=$E30,$D30,IF(R$2&gt;R$257,0,IF($C30=R$2,"PAGAR"&amp;" "&amp;TEXT($B30," #.##0,00"),0)))</f>
        <v>0</v>
      </c>
      <c r="S30" s="111">
        <f>+IF(S$2=$E30,$D30,IF(S$2&gt;S$257,0,IF($C30=S$2,"PAGAR"&amp;" "&amp;TEXT($B30," #.##0,00"),0)))</f>
        <v>0</v>
      </c>
      <c r="T30" s="111">
        <f>+IF(T$2=$E30,$D30,IF(T$2&gt;T$257,0,IF($C30=T$2,"PAGAR"&amp;" "&amp;TEXT($B30," #.##0,00"),0)))</f>
        <v>0</v>
      </c>
      <c r="U30" s="111">
        <f>+IF(U$2=$E30,$D30,IF(U$2&gt;U$257,0,IF($C30=U$2,"PAGAR"&amp;" "&amp;TEXT($B30," #.##0,00"),0)))</f>
        <v>0</v>
      </c>
      <c r="V30" s="111">
        <f>+IF(V$2=$E30,$D30,IF(V$2&gt;V$257,0,IF($C30=V$2,"PAGAR"&amp;" "&amp;TEXT($B30," #.##0,00"),0)))</f>
        <v>0</v>
      </c>
      <c r="W30" s="111" t="str">
        <f>+IF(W$2=$E30,$D30,IF(W$2&gt;W$257,0,IF($C30=W$2,"PAGAR"&amp;" "&amp;TEXT($B30," #.##0,00"),0)))</f>
        <v>PAGAR  940,00</v>
      </c>
      <c r="X30" s="111">
        <f>+IF(X$2=$E30,$D30,IF(X$2&gt;X$257,0,IF($C30=X$2,"PAGAR"&amp;" "&amp;TEXT($B30," #.##0,00"),0)))</f>
        <v>0</v>
      </c>
      <c r="Y30" s="111">
        <f>+IF(Y$2=$E30,$D30,IF(Y$2&gt;Y$257,0,IF($C30=Y$2,"PAGAR"&amp;" "&amp;TEXT($B30," #.##0,00"),0)))</f>
        <v>0</v>
      </c>
      <c r="Z30" s="111">
        <f>+IF(Z$2=$E30,$D30,IF(Z$2&gt;Z$257,0,IF($C30=Z$2,"PAGAR"&amp;" "&amp;TEXT($B30," #.##0,00"),0)))</f>
        <v>0</v>
      </c>
      <c r="AA30" s="111">
        <f>+IF(AA$2=$E30,$D30,IF(AA$2&gt;AA$257,0,IF($C30=AA$2,"PAGAR"&amp;" "&amp;TEXT($B30," #.##0,00"),0)))</f>
        <v>0</v>
      </c>
      <c r="AB30" s="111">
        <f>+IF(AB$2=$E30,$D30,IF(AB$2&gt;AB$257,0,IF($C30=AB$2,"PAGAR"&amp;" "&amp;TEXT($B30," #.##0,00"),0)))</f>
        <v>0</v>
      </c>
      <c r="AC30" s="111">
        <f>+IF(AC$2=$E30,$D30,IF(AC$2&gt;AC$257,0,IF($C30=AC$2,"PAGAR"&amp;" "&amp;TEXT($B30," #.##0,00"),0)))</f>
        <v>0</v>
      </c>
      <c r="AD30" s="111">
        <f>+IF(AD$2=$E30,$D30,IF(AD$2&gt;AD$257,0,IF($C30=AD$2,"PAGAR"&amp;" "&amp;TEXT($B30," #.##0,00"),0)))</f>
        <v>0</v>
      </c>
      <c r="AE30" s="111">
        <f>+IF(AE$2=$E30,$D30,IF(AE$2&gt;AE$257,0,IF($C30=AE$2,"PAGAR"&amp;" "&amp;TEXT($B30," #.##0,00"),0)))</f>
        <v>0</v>
      </c>
      <c r="AF30" s="111">
        <f>+IF(AF$2=$E30,$D30,IF(AF$2&gt;AF$257,0,IF($C30=AF$2,"PAGAR"&amp;" "&amp;TEXT($B30," #.##0,00"),0)))</f>
        <v>0</v>
      </c>
      <c r="AG30" s="111">
        <f>+IF(AG$2=$E30,$D30,IF(AG$2&gt;AG$257,0,IF($C30=AG$2,"PAGAR"&amp;" "&amp;TEXT($B30," #.##0,00"),0)))</f>
        <v>0</v>
      </c>
      <c r="AH30" s="111">
        <f>+IF(AH$2=$E30,$D30,IF(AH$2&gt;AH$257,0,IF($C30=AH$2,"PAGAR"&amp;" "&amp;TEXT($B30," #.##0,00"),0)))</f>
        <v>0</v>
      </c>
      <c r="AI30" s="111">
        <f>+IF(AI$2=$E30,$D30,IF(AI$2&gt;AI$257,0,IF($C30=AI$2,"PAGAR"&amp;" "&amp;TEXT($B30," #.##0,00"),0)))</f>
        <v>0</v>
      </c>
      <c r="AJ30" s="111">
        <f>+IF(AJ$2=$E30,$D30,IF(AJ$2&gt;AJ$257,0,IF($C30=AJ$2,"PAGAR"&amp;" "&amp;TEXT($B30," #.##0,00"),0)))</f>
        <v>0</v>
      </c>
      <c r="AK30" s="111">
        <f>+IF(AK$2=$E30,$D30,IF(AK$2&gt;AK$257,0,IF($C30=AK$2,"PAGAR"&amp;" "&amp;TEXT($B30," #.##0,00"),0)))</f>
        <v>0</v>
      </c>
      <c r="AL30" s="111">
        <f>+IF(AL$2=$E30,$D30,IF(AL$2&gt;AL$257,0,IF($C30=AL$2,"PAGAR"&amp;" "&amp;TEXT($B30," #.##0,00"),0)))</f>
        <v>0</v>
      </c>
      <c r="AM30" s="111">
        <f>+IF(AM$2=$E30,$D30,IF(AM$2&gt;AM$257,0,IF($C30=AM$2,"PAGAR"&amp;" "&amp;TEXT($B30," #.##0,00"),0)))</f>
        <v>0</v>
      </c>
      <c r="AN30" s="111">
        <f t="shared" ca="1" si="7"/>
        <v>0</v>
      </c>
      <c r="AO30" s="287">
        <f t="shared" si="8"/>
        <v>0</v>
      </c>
      <c r="AQ30" s="250" t="str">
        <v xml:space="preserve">VT </v>
      </c>
      <c r="AR30" s="251">
        <v>500</v>
      </c>
      <c r="AS30" s="245"/>
      <c r="AT30" s="246"/>
      <c r="AU30" s="245"/>
      <c r="AV30" s="252"/>
      <c r="AW30" s="245"/>
      <c r="AX30" s="246"/>
      <c r="AY30" s="245"/>
      <c r="AZ30" s="247"/>
      <c r="BA30" s="248"/>
      <c r="BB30" s="247"/>
      <c r="BC30" s="248"/>
      <c r="BD30" s="249"/>
    </row>
    <row r="31" spans="1:64" x14ac:dyDescent="0.25">
      <c r="A31" s="212" t="s">
        <v>195</v>
      </c>
      <c r="B31" s="90">
        <v>940</v>
      </c>
      <c r="C31" s="91">
        <v>30</v>
      </c>
      <c r="D31" s="97"/>
      <c r="E31" s="166"/>
      <c r="F31" s="84">
        <f ca="1">+IF(TODAY()&lt;DATEVALUE(1&amp;D$1&amp;E$1),0,IF(C31&gt;0,IF(C31-SUM(I$255:AM$255)&lt;0,B31-SUM(I31:AM31,0),0),0))+IF(C31=-1,B31-SUM(J31:AM31))</f>
        <v>0</v>
      </c>
      <c r="G31" s="1">
        <f t="shared" si="6"/>
        <v>0</v>
      </c>
      <c r="H31" s="14">
        <f>IF(H$2=$E31,$D31,IF(H$2&gt;H$257,0,IF($C31=H$2,"PAGAR"&amp;" "&amp;TEXT($B31," #.##0,00"),IF($C31=-1,"PAGAR"&amp;" "&amp;TEXT($B31," #.##0,00"),0))))</f>
        <v>0</v>
      </c>
      <c r="I31" s="111">
        <f>IF(I$2=$E31,$D31,IF(I$2&gt;I$257,0,IF($C31=I$2,"PAGAR"&amp;" "&amp;TEXT($B31," #.##0,00"),IF($C31=-1,"PAGAR"&amp;" "&amp;TEXT($B31," #.##0,00"),0))))</f>
        <v>0</v>
      </c>
      <c r="J31" s="111">
        <f>+IF(J$2=$E31,$D31,IF(J$2&gt;J$257,0,IF($C31=J$2,"PAGAR"&amp;" "&amp;TEXT($B31," #.##0,00"),0)))</f>
        <v>0</v>
      </c>
      <c r="K31" s="111">
        <f>+IF(K$2=$E31,$D31,IF(K$2&gt;K$257,0,IF($C31=K$2,"PAGAR"&amp;" "&amp;TEXT($B31," #.##0,00"),0)))</f>
        <v>0</v>
      </c>
      <c r="L31" s="111">
        <f>+IF(L$2=$E31,$D31,IF(L$2&gt;L$257,0,IF($C31=L$2,"PAGAR"&amp;" "&amp;TEXT($B31," #.##0,00"),0)))</f>
        <v>0</v>
      </c>
      <c r="M31" s="111">
        <f>+IF(M$2=$E31,$D31,IF(M$2&gt;M$257,0,IF($C31=M$2,"PAGAR"&amp;" "&amp;TEXT($B31," #.##0,00"),0)))</f>
        <v>0</v>
      </c>
      <c r="N31" s="111">
        <f>+IF(N$2=$E31,$D31,IF(N$2&gt;N$257,0,IF($C31=N$2,"PAGAR"&amp;" "&amp;TEXT($B31," #.##0,00"),0)))</f>
        <v>0</v>
      </c>
      <c r="O31" s="111">
        <f>+IF(O$2=$E31,$D31,IF(O$2&gt;O$257,0,IF($C31=O$2,"PAGAR"&amp;" "&amp;TEXT($B31," #.##0,00"),0)))</f>
        <v>0</v>
      </c>
      <c r="P31" s="111">
        <f>+IF(P$2=$E31,$D31,IF(P$2&gt;P$257,0,IF($C31=P$2,"PAGAR"&amp;" "&amp;TEXT($B31," #.##0,00"),0)))</f>
        <v>0</v>
      </c>
      <c r="Q31" s="111">
        <f>+IF(Q$2=$E31,$D31,IF(Q$2&gt;Q$257,0,IF($C31=Q$2,"PAGAR"&amp;" "&amp;TEXT($B31," #.##0,00"),0)))</f>
        <v>0</v>
      </c>
      <c r="R31" s="111">
        <f>+IF(R$2=$E31,$D31,IF(R$2&gt;R$257,0,IF($C31=R$2,"PAGAR"&amp;" "&amp;TEXT($B31," #.##0,00"),0)))</f>
        <v>0</v>
      </c>
      <c r="S31" s="111">
        <f>+IF(S$2=$E31,$D31,IF(S$2&gt;S$257,0,IF($C31=S$2,"PAGAR"&amp;" "&amp;TEXT($B31," #.##0,00"),0)))</f>
        <v>0</v>
      </c>
      <c r="T31" s="111">
        <f>+IF(T$2=$E31,$D31,IF(T$2&gt;T$257,0,IF($C31=T$2,"PAGAR"&amp;" "&amp;TEXT($B31," #.##0,00"),0)))</f>
        <v>0</v>
      </c>
      <c r="U31" s="111">
        <f>+IF(U$2=$E31,$D31,IF(U$2&gt;U$257,0,IF($C31=U$2,"PAGAR"&amp;" "&amp;TEXT($B31," #.##0,00"),0)))</f>
        <v>0</v>
      </c>
      <c r="V31" s="111">
        <f>+IF(V$2=$E31,$D31,IF(V$2&gt;V$257,0,IF($C31=V$2,"PAGAR"&amp;" "&amp;TEXT($B31," #.##0,00"),0)))</f>
        <v>0</v>
      </c>
      <c r="W31" s="111">
        <f>+IF(W$2=$E31,$D31,IF(W$2&gt;W$257,0,IF($C31=W$2,"PAGAR"&amp;" "&amp;TEXT($B31," #.##0,00"),0)))</f>
        <v>0</v>
      </c>
      <c r="X31" s="111">
        <f>+IF(X$2=$E31,$D31,IF(X$2&gt;X$257,0,IF($C31=X$2,"PAGAR"&amp;" "&amp;TEXT($B31," #.##0,00"),0)))</f>
        <v>0</v>
      </c>
      <c r="Y31" s="111">
        <f>+IF(Y$2=$E31,$D31,IF(Y$2&gt;Y$257,0,IF($C31=Y$2,"PAGAR"&amp;" "&amp;TEXT($B31," #.##0,00"),0)))</f>
        <v>0</v>
      </c>
      <c r="Z31" s="111">
        <f>+IF(Z$2=$E31,$D31,IF(Z$2&gt;Z$257,0,IF($C31=Z$2,"PAGAR"&amp;" "&amp;TEXT($B31," #.##0,00"),0)))</f>
        <v>0</v>
      </c>
      <c r="AA31" s="111">
        <f>+IF(AA$2=$E31,$D31,IF(AA$2&gt;AA$257,0,IF($C31=AA$2,"PAGAR"&amp;" "&amp;TEXT($B31," #.##0,00"),0)))</f>
        <v>0</v>
      </c>
      <c r="AB31" s="111">
        <f>+IF(AB$2=$E31,$D31,IF(AB$2&gt;AB$257,0,IF($C31=AB$2,"PAGAR"&amp;" "&amp;TEXT($B31," #.##0,00"),0)))</f>
        <v>0</v>
      </c>
      <c r="AC31" s="111">
        <f>+IF(AC$2=$E31,$D31,IF(AC$2&gt;AC$257,0,IF($C31=AC$2,"PAGAR"&amp;" "&amp;TEXT($B31," #.##0,00"),0)))</f>
        <v>0</v>
      </c>
      <c r="AD31" s="111">
        <f>+IF(AD$2=$E31,$D31,IF(AD$2&gt;AD$257,0,IF($C31=AD$2,"PAGAR"&amp;" "&amp;TEXT($B31," #.##0,00"),0)))</f>
        <v>0</v>
      </c>
      <c r="AE31" s="111">
        <f>+IF(AE$2=$E31,$D31,IF(AE$2&gt;AE$257,0,IF($C31=AE$2,"PAGAR"&amp;" "&amp;TEXT($B31," #.##0,00"),0)))</f>
        <v>0</v>
      </c>
      <c r="AF31" s="111">
        <f>+IF(AF$2=$E31,$D31,IF(AF$2&gt;AF$257,0,IF($C31=AF$2,"PAGAR"&amp;" "&amp;TEXT($B31," #.##0,00"),0)))</f>
        <v>0</v>
      </c>
      <c r="AG31" s="111">
        <f>+IF(AG$2=$E31,$D31,IF(AG$2&gt;AG$257,0,IF($C31=AG$2,"PAGAR"&amp;" "&amp;TEXT($B31," #.##0,00"),0)))</f>
        <v>0</v>
      </c>
      <c r="AH31" s="111">
        <f>+IF(AH$2=$E31,$D31,IF(AH$2&gt;AH$257,0,IF($C31=AH$2,"PAGAR"&amp;" "&amp;TEXT($B31," #.##0,00"),0)))</f>
        <v>0</v>
      </c>
      <c r="AI31" s="111">
        <f>+IF(AI$2=$E31,$D31,IF(AI$2&gt;AI$257,0,IF($C31=AI$2,"PAGAR"&amp;" "&amp;TEXT($B31," #.##0,00"),0)))</f>
        <v>0</v>
      </c>
      <c r="AJ31" s="111">
        <f>+IF(AJ$2=$E31,$D31,IF(AJ$2&gt;AJ$257,0,IF($C31=AJ$2,"PAGAR"&amp;" "&amp;TEXT($B31," #.##0,00"),0)))</f>
        <v>0</v>
      </c>
      <c r="AK31" s="111">
        <f>+IF(AK$2=$E31,$D31,IF(AK$2&gt;AK$257,0,IF($C31=AK$2,"PAGAR"&amp;" "&amp;TEXT($B31," #.##0,00"),0)))</f>
        <v>0</v>
      </c>
      <c r="AL31" s="111" t="str">
        <f>+IF(AL$2=$E31,$D31,IF(AL$2&gt;AL$257,0,IF($C31=AL$2,"PAGAR"&amp;" "&amp;TEXT($B31," #.##0,00"),0)))</f>
        <v>PAGAR  940,00</v>
      </c>
      <c r="AM31" s="111">
        <f>+IF(AM$2=$E31,$D31,IF(AM$2&gt;AM$257,0,IF($C31=AM$2,"PAGAR"&amp;" "&amp;TEXT($B31," #.##0,00"),0)))</f>
        <v>0</v>
      </c>
      <c r="AN31" s="111">
        <f t="shared" ca="1" si="7"/>
        <v>0</v>
      </c>
      <c r="AO31" s="287">
        <f t="shared" si="8"/>
        <v>0</v>
      </c>
      <c r="AQ31" s="232" t="str">
        <v>Naturgy - estimado</v>
      </c>
      <c r="AR31" s="230">
        <v>220</v>
      </c>
      <c r="AS31" s="234"/>
      <c r="AT31" s="225"/>
      <c r="AU31" s="234"/>
      <c r="AV31" s="225"/>
      <c r="AW31" s="234"/>
      <c r="AX31" s="225"/>
      <c r="AY31" s="234"/>
      <c r="AZ31" s="226"/>
      <c r="BA31" s="236"/>
      <c r="BB31" s="226"/>
      <c r="BC31" s="236"/>
      <c r="BD31" s="227"/>
    </row>
    <row r="32" spans="1:64" x14ac:dyDescent="0.25">
      <c r="A32" s="212" t="s">
        <v>196</v>
      </c>
      <c r="B32" s="90">
        <v>1080</v>
      </c>
      <c r="C32" s="91">
        <v>6</v>
      </c>
      <c r="D32" s="97"/>
      <c r="E32" s="166"/>
      <c r="F32" s="84">
        <f ca="1">+IF(TODAY()&lt;DATEVALUE(1&amp;D$1&amp;E$1),0,IF(C32&gt;0,IF(C32-SUM(I$255:AM$255)&lt;0,B32-SUM(I32:AM32,0),0),0))+IF(C32=-1,B32-SUM(J32:AM32))</f>
        <v>1080</v>
      </c>
      <c r="G32" s="1">
        <f t="shared" si="6"/>
        <v>0</v>
      </c>
      <c r="H32" s="14">
        <f>IF(H$2=$E32,$D32,IF(H$2&gt;H$257,0,IF($C32=H$2,"PAGAR"&amp;" "&amp;TEXT($B32," #.##0,00"),IF($C32=-1,"PAGAR"&amp;" "&amp;TEXT($B32," #.##0,00"),0))))</f>
        <v>0</v>
      </c>
      <c r="I32" s="111">
        <f>IF(I$2=$E32,$D32,IF(I$2&gt;I$257,0,IF($C32=I$2,"PAGAR"&amp;" "&amp;TEXT($B32," #.##0,00"),IF($C32=-1,"PAGAR"&amp;" "&amp;TEXT($B32," #.##0,00"),0))))</f>
        <v>0</v>
      </c>
      <c r="J32" s="111">
        <f>+IF(J$2=$E32,$D32,IF(J$2&gt;J$257,0,IF($C32=J$2,"PAGAR"&amp;" "&amp;TEXT($B32," #.##0,00"),0)))</f>
        <v>0</v>
      </c>
      <c r="K32" s="111">
        <f>+IF(K$2=$E32,$D32,IF(K$2&gt;K$257,0,IF($C32=K$2,"PAGAR"&amp;" "&amp;TEXT($B32," #.##0,00"),0)))</f>
        <v>0</v>
      </c>
      <c r="L32" s="111">
        <f>+IF(L$2=$E32,$D32,IF(L$2&gt;L$257,0,IF($C32=L$2,"PAGAR"&amp;" "&amp;TEXT($B32," #.##0,00"),0)))</f>
        <v>0</v>
      </c>
      <c r="M32" s="111">
        <f>+IF(M$2=$E32,$D32,IF(M$2&gt;M$257,0,IF($C32=M$2,"PAGAR"&amp;" "&amp;TEXT($B32," #.##0,00"),0)))</f>
        <v>0</v>
      </c>
      <c r="N32" s="111" t="str">
        <f>+IF(N$2=$E32,$D32,IF(N$2&gt;N$257,0,IF($C32=N$2,"PAGAR"&amp;" "&amp;TEXT($B32," #.##0,00"),0)))</f>
        <v>PAGAR  1.080,00</v>
      </c>
      <c r="O32" s="111">
        <f>+IF(O$2=$E32,$D32,IF(O$2&gt;O$257,0,IF($C32=O$2,"PAGAR"&amp;" "&amp;TEXT($B32," #.##0,00"),0)))</f>
        <v>0</v>
      </c>
      <c r="P32" s="111">
        <f>+IF(P$2=$E32,$D32,IF(P$2&gt;P$257,0,IF($C32=P$2,"PAGAR"&amp;" "&amp;TEXT($B32," #.##0,00"),0)))</f>
        <v>0</v>
      </c>
      <c r="Q32" s="111">
        <f>+IF(Q$2=$E32,$D32,IF(Q$2&gt;Q$257,0,IF($C32=Q$2,"PAGAR"&amp;" "&amp;TEXT($B32," #.##0,00"),0)))</f>
        <v>0</v>
      </c>
      <c r="R32" s="111">
        <f>+IF(R$2=$E32,$D32,IF(R$2&gt;R$257,0,IF($C32=R$2,"PAGAR"&amp;" "&amp;TEXT($B32," #.##0,00"),0)))</f>
        <v>0</v>
      </c>
      <c r="S32" s="111">
        <f>+IF(S$2=$E32,$D32,IF(S$2&gt;S$257,0,IF($C32=S$2,"PAGAR"&amp;" "&amp;TEXT($B32," #.##0,00"),0)))</f>
        <v>0</v>
      </c>
      <c r="T32" s="111">
        <f>+IF(T$2=$E32,$D32,IF(T$2&gt;T$257,0,IF($C32=T$2,"PAGAR"&amp;" "&amp;TEXT($B32," #.##0,00"),0)))</f>
        <v>0</v>
      </c>
      <c r="U32" s="111">
        <f>+IF(U$2=$E32,$D32,IF(U$2&gt;U$257,0,IF($C32=U$2,"PAGAR"&amp;" "&amp;TEXT($B32," #.##0,00"),0)))</f>
        <v>0</v>
      </c>
      <c r="V32" s="111">
        <f>+IF(V$2=$E32,$D32,IF(V$2&gt;V$257,0,IF($C32=V$2,"PAGAR"&amp;" "&amp;TEXT($B32," #.##0,00"),0)))</f>
        <v>0</v>
      </c>
      <c r="W32" s="111">
        <f>+IF(W$2=$E32,$D32,IF(W$2&gt;W$257,0,IF($C32=W$2,"PAGAR"&amp;" "&amp;TEXT($B32," #.##0,00"),0)))</f>
        <v>0</v>
      </c>
      <c r="X32" s="111">
        <f>+IF(X$2=$E32,$D32,IF(X$2&gt;X$257,0,IF($C32=X$2,"PAGAR"&amp;" "&amp;TEXT($B32," #.##0,00"),0)))</f>
        <v>0</v>
      </c>
      <c r="Y32" s="111">
        <f>+IF(Y$2=$E32,$D32,IF(Y$2&gt;Y$257,0,IF($C32=Y$2,"PAGAR"&amp;" "&amp;TEXT($B32," #.##0,00"),0)))</f>
        <v>0</v>
      </c>
      <c r="Z32" s="111">
        <f>+IF(Z$2=$E32,$D32,IF(Z$2&gt;Z$257,0,IF($C32=Z$2,"PAGAR"&amp;" "&amp;TEXT($B32," #.##0,00"),0)))</f>
        <v>0</v>
      </c>
      <c r="AA32" s="111">
        <f>+IF(AA$2=$E32,$D32,IF(AA$2&gt;AA$257,0,IF($C32=AA$2,"PAGAR"&amp;" "&amp;TEXT($B32," #.##0,00"),0)))</f>
        <v>0</v>
      </c>
      <c r="AB32" s="111">
        <f>+IF(AB$2=$E32,$D32,IF(AB$2&gt;AB$257,0,IF($C32=AB$2,"PAGAR"&amp;" "&amp;TEXT($B32," #.##0,00"),0)))</f>
        <v>0</v>
      </c>
      <c r="AC32" s="111">
        <f>+IF(AC$2=$E32,$D32,IF(AC$2&gt;AC$257,0,IF($C32=AC$2,"PAGAR"&amp;" "&amp;TEXT($B32," #.##0,00"),0)))</f>
        <v>0</v>
      </c>
      <c r="AD32" s="111">
        <f>+IF(AD$2=$E32,$D32,IF(AD$2&gt;AD$257,0,IF($C32=AD$2,"PAGAR"&amp;" "&amp;TEXT($B32," #.##0,00"),0)))</f>
        <v>0</v>
      </c>
      <c r="AE32" s="111">
        <f>+IF(AE$2=$E32,$D32,IF(AE$2&gt;AE$257,0,IF($C32=AE$2,"PAGAR"&amp;" "&amp;TEXT($B32," #.##0,00"),0)))</f>
        <v>0</v>
      </c>
      <c r="AF32" s="111">
        <f>+IF(AF$2=$E32,$D32,IF(AF$2&gt;AF$257,0,IF($C32=AF$2,"PAGAR"&amp;" "&amp;TEXT($B32," #.##0,00"),0)))</f>
        <v>0</v>
      </c>
      <c r="AG32" s="111">
        <f>+IF(AG$2=$E32,$D32,IF(AG$2&gt;AG$257,0,IF($C32=AG$2,"PAGAR"&amp;" "&amp;TEXT($B32," #.##0,00"),0)))</f>
        <v>0</v>
      </c>
      <c r="AH32" s="111">
        <f>+IF(AH$2=$E32,$D32,IF(AH$2&gt;AH$257,0,IF($C32=AH$2,"PAGAR"&amp;" "&amp;TEXT($B32," #.##0,00"),0)))</f>
        <v>0</v>
      </c>
      <c r="AI32" s="111">
        <f>+IF(AI$2=$E32,$D32,IF(AI$2&gt;AI$257,0,IF($C32=AI$2,"PAGAR"&amp;" "&amp;TEXT($B32," #.##0,00"),0)))</f>
        <v>0</v>
      </c>
      <c r="AJ32" s="111">
        <f>+IF(AJ$2=$E32,$D32,IF(AJ$2&gt;AJ$257,0,IF($C32=AJ$2,"PAGAR"&amp;" "&amp;TEXT($B32," #.##0,00"),0)))</f>
        <v>0</v>
      </c>
      <c r="AK32" s="111">
        <f>+IF(AK$2=$E32,$D32,IF(AK$2&gt;AK$257,0,IF($C32=AK$2,"PAGAR"&amp;" "&amp;TEXT($B32," #.##0,00"),0)))</f>
        <v>0</v>
      </c>
      <c r="AL32" s="111">
        <f>+IF(AL$2=$E32,$D32,IF(AL$2&gt;AL$257,0,IF($C32=AL$2,"PAGAR"&amp;" "&amp;TEXT($B32," #.##0,00"),0)))</f>
        <v>0</v>
      </c>
      <c r="AM32" s="111">
        <f>+IF(AM$2=$E32,$D32,IF(AM$2&gt;AM$257,0,IF($C32=AM$2,"PAGAR"&amp;" "&amp;TEXT($B32," #.##0,00"),0)))</f>
        <v>0</v>
      </c>
      <c r="AN32" s="111">
        <f t="shared" ca="1" si="7"/>
        <v>0</v>
      </c>
      <c r="AO32" s="287">
        <f t="shared" si="8"/>
        <v>0</v>
      </c>
      <c r="AQ32" s="250" t="str">
        <v>Letízio ?/36</v>
      </c>
      <c r="AR32" s="251">
        <v>2750</v>
      </c>
      <c r="AS32" s="245"/>
      <c r="AT32" s="246"/>
      <c r="AU32" s="245"/>
      <c r="AV32" s="252"/>
      <c r="AW32" s="245"/>
      <c r="AX32" s="246"/>
      <c r="AY32" s="245"/>
      <c r="AZ32" s="247"/>
      <c r="BA32" s="248"/>
      <c r="BB32" s="247"/>
      <c r="BC32" s="248"/>
      <c r="BD32" s="249"/>
    </row>
    <row r="33" spans="1:56" x14ac:dyDescent="0.25">
      <c r="A33" s="212" t="s">
        <v>196</v>
      </c>
      <c r="B33" s="90">
        <v>720</v>
      </c>
      <c r="C33" s="91">
        <v>20</v>
      </c>
      <c r="D33" s="97"/>
      <c r="E33" s="166"/>
      <c r="F33" s="84">
        <f ca="1">+IF(TODAY()&lt;DATEVALUE(1&amp;D$1&amp;E$1),0,IF(C33&gt;0,IF(C33-SUM(I$255:AM$255)&lt;0,B33-SUM(I33:AM33,0),0),0))+IF(C33=-1,B33-SUM(J33:AM33))</f>
        <v>0</v>
      </c>
      <c r="G33" s="1">
        <f t="shared" si="6"/>
        <v>0</v>
      </c>
      <c r="H33" s="14">
        <f>IF(H$2=$E33,$D33,IF(H$2&gt;H$257,0,IF($C33=H$2,"PAGAR"&amp;" "&amp;TEXT($B33," #.##0,00"),IF($C33=-1,"PAGAR"&amp;" "&amp;TEXT($B33," #.##0,00"),0))))</f>
        <v>0</v>
      </c>
      <c r="I33" s="111">
        <f>IF(I$2=$E33,$D33,IF(I$2&gt;I$257,0,IF($C33=I$2,"PAGAR"&amp;" "&amp;TEXT($B33," #.##0,00"),IF($C33=-1,"PAGAR"&amp;" "&amp;TEXT($B33," #.##0,00"),0))))</f>
        <v>0</v>
      </c>
      <c r="J33" s="111">
        <f>+IF(J$2=$E33,$D33,IF(J$2&gt;J$257,0,IF($C33=J$2,"PAGAR"&amp;" "&amp;TEXT($B33," #.##0,00"),0)))</f>
        <v>0</v>
      </c>
      <c r="K33" s="111">
        <f>+IF(K$2=$E33,$D33,IF(K$2&gt;K$257,0,IF($C33=K$2,"PAGAR"&amp;" "&amp;TEXT($B33," #.##0,00"),0)))</f>
        <v>0</v>
      </c>
      <c r="L33" s="111">
        <f>+IF(L$2=$E33,$D33,IF(L$2&gt;L$257,0,IF($C33=L$2,"PAGAR"&amp;" "&amp;TEXT($B33," #.##0,00"),0)))</f>
        <v>0</v>
      </c>
      <c r="M33" s="111">
        <f>+IF(M$2=$E33,$D33,IF(M$2&gt;M$257,0,IF($C33=M$2,"PAGAR"&amp;" "&amp;TEXT($B33," #.##0,00"),0)))</f>
        <v>0</v>
      </c>
      <c r="N33" s="111">
        <f>+IF(N$2=$E33,$D33,IF(N$2&gt;N$257,0,IF($C33=N$2,"PAGAR"&amp;" "&amp;TEXT($B33," #.##0,00"),0)))</f>
        <v>0</v>
      </c>
      <c r="O33" s="111">
        <f>+IF(O$2=$E33,$D33,IF(O$2&gt;O$257,0,IF($C33=O$2,"PAGAR"&amp;" "&amp;TEXT($B33," #.##0,00"),0)))</f>
        <v>0</v>
      </c>
      <c r="P33" s="111">
        <f>+IF(P$2=$E33,$D33,IF(P$2&gt;P$257,0,IF($C33=P$2,"PAGAR"&amp;" "&amp;TEXT($B33," #.##0,00"),0)))</f>
        <v>0</v>
      </c>
      <c r="Q33" s="111">
        <f>+IF(Q$2=$E33,$D33,IF(Q$2&gt;Q$257,0,IF($C33=Q$2,"PAGAR"&amp;" "&amp;TEXT($B33," #.##0,00"),0)))</f>
        <v>0</v>
      </c>
      <c r="R33" s="111">
        <f>+IF(R$2=$E33,$D33,IF(R$2&gt;R$257,0,IF($C33=R$2,"PAGAR"&amp;" "&amp;TEXT($B33," #.##0,00"),0)))</f>
        <v>0</v>
      </c>
      <c r="S33" s="111">
        <f>+IF(S$2=$E33,$D33,IF(S$2&gt;S$257,0,IF($C33=S$2,"PAGAR"&amp;" "&amp;TEXT($B33," #.##0,00"),0)))</f>
        <v>0</v>
      </c>
      <c r="T33" s="111">
        <f>+IF(T$2=$E33,$D33,IF(T$2&gt;T$257,0,IF($C33=T$2,"PAGAR"&amp;" "&amp;TEXT($B33," #.##0,00"),0)))</f>
        <v>0</v>
      </c>
      <c r="U33" s="111">
        <f>+IF(U$2=$E33,$D33,IF(U$2&gt;U$257,0,IF($C33=U$2,"PAGAR"&amp;" "&amp;TEXT($B33," #.##0,00"),0)))</f>
        <v>0</v>
      </c>
      <c r="V33" s="111">
        <f>+IF(V$2=$E33,$D33,IF(V$2&gt;V$257,0,IF($C33=V$2,"PAGAR"&amp;" "&amp;TEXT($B33," #.##0,00"),0)))</f>
        <v>0</v>
      </c>
      <c r="W33" s="111">
        <f>+IF(W$2=$E33,$D33,IF(W$2&gt;W$257,0,IF($C33=W$2,"PAGAR"&amp;" "&amp;TEXT($B33," #.##0,00"),0)))</f>
        <v>0</v>
      </c>
      <c r="X33" s="111">
        <f>+IF(X$2=$E33,$D33,IF(X$2&gt;X$257,0,IF($C33=X$2,"PAGAR"&amp;" "&amp;TEXT($B33," #.##0,00"),0)))</f>
        <v>0</v>
      </c>
      <c r="Y33" s="111">
        <f>+IF(Y$2=$E33,$D33,IF(Y$2&gt;Y$257,0,IF($C33=Y$2,"PAGAR"&amp;" "&amp;TEXT($B33," #.##0,00"),0)))</f>
        <v>0</v>
      </c>
      <c r="Z33" s="111">
        <f>+IF(Z$2=$E33,$D33,IF(Z$2&gt;Z$257,0,IF($C33=Z$2,"PAGAR"&amp;" "&amp;TEXT($B33," #.##0,00"),0)))</f>
        <v>0</v>
      </c>
      <c r="AA33" s="111">
        <f>+IF(AA$2=$E33,$D33,IF(AA$2&gt;AA$257,0,IF($C33=AA$2,"PAGAR"&amp;" "&amp;TEXT($B33," #.##0,00"),0)))</f>
        <v>0</v>
      </c>
      <c r="AB33" s="111" t="str">
        <f>+IF(AB$2=$E33,$D33,IF(AB$2&gt;AB$257,0,IF($C33=AB$2,"PAGAR"&amp;" "&amp;TEXT($B33," #.##0,00"),0)))</f>
        <v>PAGAR  720,00</v>
      </c>
      <c r="AC33" s="111">
        <f>+IF(AC$2=$E33,$D33,IF(AC$2&gt;AC$257,0,IF($C33=AC$2,"PAGAR"&amp;" "&amp;TEXT($B33," #.##0,00"),0)))</f>
        <v>0</v>
      </c>
      <c r="AD33" s="111">
        <f>+IF(AD$2=$E33,$D33,IF(AD$2&gt;AD$257,0,IF($C33=AD$2,"PAGAR"&amp;" "&amp;TEXT($B33," #.##0,00"),0)))</f>
        <v>0</v>
      </c>
      <c r="AE33" s="111">
        <f>+IF(AE$2=$E33,$D33,IF(AE$2&gt;AE$257,0,IF($C33=AE$2,"PAGAR"&amp;" "&amp;TEXT($B33," #.##0,00"),0)))</f>
        <v>0</v>
      </c>
      <c r="AF33" s="111">
        <f>+IF(AF$2=$E33,$D33,IF(AF$2&gt;AF$257,0,IF($C33=AF$2,"PAGAR"&amp;" "&amp;TEXT($B33," #.##0,00"),0)))</f>
        <v>0</v>
      </c>
      <c r="AG33" s="111">
        <f>+IF(AG$2=$E33,$D33,IF(AG$2&gt;AG$257,0,IF($C33=AG$2,"PAGAR"&amp;" "&amp;TEXT($B33," #.##0,00"),0)))</f>
        <v>0</v>
      </c>
      <c r="AH33" s="111">
        <f>+IF(AH$2=$E33,$D33,IF(AH$2&gt;AH$257,0,IF($C33=AH$2,"PAGAR"&amp;" "&amp;TEXT($B33," #.##0,00"),0)))</f>
        <v>0</v>
      </c>
      <c r="AI33" s="111">
        <f>+IF(AI$2=$E33,$D33,IF(AI$2&gt;AI$257,0,IF($C33=AI$2,"PAGAR"&amp;" "&amp;TEXT($B33," #.##0,00"),0)))</f>
        <v>0</v>
      </c>
      <c r="AJ33" s="111">
        <f>+IF(AJ$2=$E33,$D33,IF(AJ$2&gt;AJ$257,0,IF($C33=AJ$2,"PAGAR"&amp;" "&amp;TEXT($B33," #.##0,00"),0)))</f>
        <v>0</v>
      </c>
      <c r="AK33" s="111">
        <f>+IF(AK$2=$E33,$D33,IF(AK$2&gt;AK$257,0,IF($C33=AK$2,"PAGAR"&amp;" "&amp;TEXT($B33," #.##0,00"),0)))</f>
        <v>0</v>
      </c>
      <c r="AL33" s="111">
        <f>+IF(AL$2=$E33,$D33,IF(AL$2&gt;AL$257,0,IF($C33=AL$2,"PAGAR"&amp;" "&amp;TEXT($B33," #.##0,00"),0)))</f>
        <v>0</v>
      </c>
      <c r="AM33" s="111">
        <f>+IF(AM$2=$E33,$D33,IF(AM$2&gt;AM$257,0,IF($C33=AM$2,"PAGAR"&amp;" "&amp;TEXT($B33," #.##0,00"),0)))</f>
        <v>0</v>
      </c>
      <c r="AN33" s="111">
        <f t="shared" ca="1" si="7"/>
        <v>0</v>
      </c>
      <c r="AO33" s="287">
        <f t="shared" si="8"/>
        <v>0</v>
      </c>
      <c r="AQ33" s="232" t="str">
        <v>Barão Aluguel</v>
      </c>
      <c r="AR33" s="230">
        <v>4377.08</v>
      </c>
      <c r="AS33" s="234"/>
      <c r="AT33" s="225"/>
      <c r="AU33" s="234"/>
      <c r="AV33" s="225"/>
      <c r="AW33" s="234"/>
      <c r="AX33" s="225"/>
      <c r="AY33" s="234"/>
      <c r="AZ33" s="226"/>
      <c r="BA33" s="236"/>
      <c r="BB33" s="226"/>
      <c r="BC33" s="236"/>
      <c r="BD33" s="227"/>
    </row>
    <row r="34" spans="1:56" x14ac:dyDescent="0.25">
      <c r="A34" s="212" t="s">
        <v>197</v>
      </c>
      <c r="B34" s="90">
        <v>1010</v>
      </c>
      <c r="C34" s="91">
        <v>17</v>
      </c>
      <c r="D34" s="97">
        <v>1010</v>
      </c>
      <c r="E34" s="166">
        <v>12</v>
      </c>
      <c r="F34" s="84">
        <f ca="1">+IF(TODAY()&lt;DATEVALUE(1&amp;D$1&amp;E$1),0,IF(C34&gt;0,IF(C34-SUM(I$255:AM$255)&lt;0,B34-SUM(I34:AM34,0),0),0))+IF(C34=-1,B34-SUM(J34:AM34))</f>
        <v>0</v>
      </c>
      <c r="G34" s="1">
        <f t="shared" si="6"/>
        <v>1</v>
      </c>
      <c r="H34" s="14">
        <f>IF(H$2=$E34,$D34,IF(H$2&gt;H$257,0,IF($C34=H$2,"PAGAR"&amp;" "&amp;TEXT($B34," #.##0,00"),IF($C34=-1,"PAGAR"&amp;" "&amp;TEXT($B34," #.##0,00"),0))))</f>
        <v>0</v>
      </c>
      <c r="I34" s="111">
        <f>IF(I$2=$E34,$D34,IF(I$2&gt;I$257,0,IF($C34=I$2,"PAGAR"&amp;" "&amp;TEXT($B34," #.##0,00"),IF($C34=-1,"PAGAR"&amp;" "&amp;TEXT($B34," #.##0,00"),0))))</f>
        <v>0</v>
      </c>
      <c r="J34" s="111">
        <f>+IF(J$2=$E34,$D34,IF(J$2&gt;J$257,0,IF($C34=J$2,"PAGAR"&amp;" "&amp;TEXT($B34," #.##0,00"),0)))</f>
        <v>0</v>
      </c>
      <c r="K34" s="111">
        <f>+IF(K$2=$E34,$D34,IF(K$2&gt;K$257,0,IF($C34=K$2,"PAGAR"&amp;" "&amp;TEXT($B34," #.##0,00"),0)))</f>
        <v>0</v>
      </c>
      <c r="L34" s="111">
        <f>+IF(L$2=$E34,$D34,IF(L$2&gt;L$257,0,IF($C34=L$2,"PAGAR"&amp;" "&amp;TEXT($B34," #.##0,00"),0)))</f>
        <v>0</v>
      </c>
      <c r="M34" s="111">
        <f>+IF(M$2=$E34,$D34,IF(M$2&gt;M$257,0,IF($C34=M$2,"PAGAR"&amp;" "&amp;TEXT($B34," #.##0,00"),0)))</f>
        <v>0</v>
      </c>
      <c r="N34" s="111">
        <f>+IF(N$2=$E34,$D34,IF(N$2&gt;N$257,0,IF($C34=N$2,"PAGAR"&amp;" "&amp;TEXT($B34," #.##0,00"),0)))</f>
        <v>0</v>
      </c>
      <c r="O34" s="111">
        <f>+IF(O$2=$E34,$D34,IF(O$2&gt;O$257,0,IF($C34=O$2,"PAGAR"&amp;" "&amp;TEXT($B34," #.##0,00"),0)))</f>
        <v>0</v>
      </c>
      <c r="P34" s="111">
        <f>+IF(P$2=$E34,$D34,IF(P$2&gt;P$257,0,IF($C34=P$2,"PAGAR"&amp;" "&amp;TEXT($B34," #.##0,00"),0)))</f>
        <v>0</v>
      </c>
      <c r="Q34" s="111">
        <f>+IF(Q$2=$E34,$D34,IF(Q$2&gt;Q$257,0,IF($C34=Q$2,"PAGAR"&amp;" "&amp;TEXT($B34," #.##0,00"),0)))</f>
        <v>0</v>
      </c>
      <c r="R34" s="111">
        <f>+IF(R$2=$E34,$D34,IF(R$2&gt;R$257,0,IF($C34=R$2,"PAGAR"&amp;" "&amp;TEXT($B34," #.##0,00"),0)))</f>
        <v>0</v>
      </c>
      <c r="S34" s="111">
        <f>+IF(S$2=$E34,$D34,IF(S$2&gt;S$257,0,IF($C34=S$2,"PAGAR"&amp;" "&amp;TEXT($B34," #.##0,00"),0)))</f>
        <v>0</v>
      </c>
      <c r="T34" s="111">
        <f>+IF(T$2=$E34,$D34,IF(T$2&gt;T$257,0,IF($C34=T$2,"PAGAR"&amp;" "&amp;TEXT($B34," #.##0,00"),0)))</f>
        <v>1010</v>
      </c>
      <c r="U34" s="111">
        <f>+IF(U$2=$E34,$D34,IF(U$2&gt;U$257,0,IF($C34=U$2,"PAGAR"&amp;" "&amp;TEXT($B34," #.##0,00"),0)))</f>
        <v>0</v>
      </c>
      <c r="V34" s="111">
        <f>+IF(V$2=$E34,$D34,IF(V$2&gt;V$257,0,IF($C34=V$2,"PAGAR"&amp;" "&amp;TEXT($B34," #.##0,00"),0)))</f>
        <v>0</v>
      </c>
      <c r="W34" s="111">
        <f>+IF(W$2=$E34,$D34,IF(W$2&gt;W$257,0,IF($C34=W$2,"PAGAR"&amp;" "&amp;TEXT($B34," #.##0,00"),0)))</f>
        <v>0</v>
      </c>
      <c r="X34" s="111">
        <f>+IF(X$2=$E34,$D34,IF(X$2&gt;X$257,0,IF($C34=X$2,"PAGAR"&amp;" "&amp;TEXT($B34," #.##0,00"),0)))</f>
        <v>0</v>
      </c>
      <c r="Y34" s="111" t="str">
        <f>+IF(Y$2=$E34,$D34,IF(Y$2&gt;Y$257,0,IF($C34=Y$2,"PAGAR"&amp;" "&amp;TEXT($B34," #.##0,00"),0)))</f>
        <v>PAGAR  1.010,00</v>
      </c>
      <c r="Z34" s="111">
        <f>+IF(Z$2=$E34,$D34,IF(Z$2&gt;Z$257,0,IF($C34=Z$2,"PAGAR"&amp;" "&amp;TEXT($B34," #.##0,00"),0)))</f>
        <v>0</v>
      </c>
      <c r="AA34" s="111">
        <f>+IF(AA$2=$E34,$D34,IF(AA$2&gt;AA$257,0,IF($C34=AA$2,"PAGAR"&amp;" "&amp;TEXT($B34," #.##0,00"),0)))</f>
        <v>0</v>
      </c>
      <c r="AB34" s="111">
        <f>+IF(AB$2=$E34,$D34,IF(AB$2&gt;AB$257,0,IF($C34=AB$2,"PAGAR"&amp;" "&amp;TEXT($B34," #.##0,00"),0)))</f>
        <v>0</v>
      </c>
      <c r="AC34" s="111">
        <f>+IF(AC$2=$E34,$D34,IF(AC$2&gt;AC$257,0,IF($C34=AC$2,"PAGAR"&amp;" "&amp;TEXT($B34," #.##0,00"),0)))</f>
        <v>0</v>
      </c>
      <c r="AD34" s="111">
        <f>+IF(AD$2=$E34,$D34,IF(AD$2&gt;AD$257,0,IF($C34=AD$2,"PAGAR"&amp;" "&amp;TEXT($B34," #.##0,00"),0)))</f>
        <v>0</v>
      </c>
      <c r="AE34" s="111">
        <f>+IF(AE$2=$E34,$D34,IF(AE$2&gt;AE$257,0,IF($C34=AE$2,"PAGAR"&amp;" "&amp;TEXT($B34," #.##0,00"),0)))</f>
        <v>0</v>
      </c>
      <c r="AF34" s="111">
        <f>+IF(AF$2=$E34,$D34,IF(AF$2&gt;AF$257,0,IF($C34=AF$2,"PAGAR"&amp;" "&amp;TEXT($B34," #.##0,00"),0)))</f>
        <v>0</v>
      </c>
      <c r="AG34" s="111">
        <f>+IF(AG$2=$E34,$D34,IF(AG$2&gt;AG$257,0,IF($C34=AG$2,"PAGAR"&amp;" "&amp;TEXT($B34," #.##0,00"),0)))</f>
        <v>0</v>
      </c>
      <c r="AH34" s="111">
        <f>+IF(AH$2=$E34,$D34,IF(AH$2&gt;AH$257,0,IF($C34=AH$2,"PAGAR"&amp;" "&amp;TEXT($B34," #.##0,00"),0)))</f>
        <v>0</v>
      </c>
      <c r="AI34" s="111">
        <f>+IF(AI$2=$E34,$D34,IF(AI$2&gt;AI$257,0,IF($C34=AI$2,"PAGAR"&amp;" "&amp;TEXT($B34," #.##0,00"),0)))</f>
        <v>0</v>
      </c>
      <c r="AJ34" s="111">
        <f>+IF(AJ$2=$E34,$D34,IF(AJ$2&gt;AJ$257,0,IF($C34=AJ$2,"PAGAR"&amp;" "&amp;TEXT($B34," #.##0,00"),0)))</f>
        <v>0</v>
      </c>
      <c r="AK34" s="111">
        <f>+IF(AK$2=$E34,$D34,IF(AK$2&gt;AK$257,0,IF($C34=AK$2,"PAGAR"&amp;" "&amp;TEXT($B34," #.##0,00"),0)))</f>
        <v>0</v>
      </c>
      <c r="AL34" s="111">
        <f>+IF(AL$2=$E34,$D34,IF(AL$2&gt;AL$257,0,IF($C34=AL$2,"PAGAR"&amp;" "&amp;TEXT($B34," #.##0,00"),0)))</f>
        <v>0</v>
      </c>
      <c r="AM34" s="111">
        <f>+IF(AM$2=$E34,$D34,IF(AM$2&gt;AM$257,0,IF($C34=AM$2,"PAGAR"&amp;" "&amp;TEXT($B34," #.##0,00"),0)))</f>
        <v>0</v>
      </c>
      <c r="AN34" s="111">
        <f t="shared" ca="1" si="7"/>
        <v>0</v>
      </c>
      <c r="AO34" s="287">
        <f t="shared" si="8"/>
        <v>0</v>
      </c>
      <c r="AQ34" s="253" t="str">
        <v>Boa Vista Aluguel</v>
      </c>
      <c r="AR34" s="254">
        <v>3450</v>
      </c>
      <c r="AS34" s="242"/>
      <c r="AT34" s="243"/>
      <c r="AU34" s="242"/>
      <c r="AV34" s="164"/>
      <c r="AW34" s="242"/>
      <c r="AX34" s="243"/>
      <c r="AY34" s="242"/>
      <c r="AZ34" s="243"/>
      <c r="BA34" s="242"/>
      <c r="BB34" s="243"/>
      <c r="BC34" s="242"/>
      <c r="BD34" s="244"/>
    </row>
    <row r="35" spans="1:56" x14ac:dyDescent="0.25">
      <c r="A35" s="212" t="s">
        <v>198</v>
      </c>
      <c r="B35" s="90">
        <v>500</v>
      </c>
      <c r="C35" s="91">
        <v>15</v>
      </c>
      <c r="D35" s="97"/>
      <c r="E35" s="166"/>
      <c r="F35" s="84">
        <f ca="1">+IF(TODAY()&lt;DATEVALUE(1&amp;D$1&amp;E$1),0,IF(C35&gt;0,IF(C35-SUM(I$255:AM$255)&lt;0,B35-SUM(I35:AM35,0),0),0))+IF(C35=-1,B35-SUM(J35:AM35))</f>
        <v>0</v>
      </c>
      <c r="G35" s="1">
        <f t="shared" si="6"/>
        <v>0</v>
      </c>
      <c r="H35" s="14">
        <f>IF(H$2=$E35,$D35,IF(H$2&gt;H$257,0,IF($C35=H$2,"PAGAR"&amp;" "&amp;TEXT($B35," #.##0,00"),IF($C35=-1,"PAGAR"&amp;" "&amp;TEXT($B35," #.##0,00"),0))))</f>
        <v>0</v>
      </c>
      <c r="I35" s="111">
        <f>IF(I$2=$E35,$D35,IF(I$2&gt;I$257,0,IF($C35=I$2,"PAGAR"&amp;" "&amp;TEXT($B35," #.##0,00"),IF($C35=-1,"PAGAR"&amp;" "&amp;TEXT($B35," #.##0,00"),0))))</f>
        <v>0</v>
      </c>
      <c r="J35" s="111">
        <f>+IF(J$2=$E35,$D35,IF(J$2&gt;J$257,0,IF($C35=J$2,"PAGAR"&amp;" "&amp;TEXT($B35," #.##0,00"),0)))</f>
        <v>0</v>
      </c>
      <c r="K35" s="111">
        <f>+IF(K$2=$E35,$D35,IF(K$2&gt;K$257,0,IF($C35=K$2,"PAGAR"&amp;" "&amp;TEXT($B35," #.##0,00"),0)))</f>
        <v>0</v>
      </c>
      <c r="L35" s="111">
        <f>+IF(L$2=$E35,$D35,IF(L$2&gt;L$257,0,IF($C35=L$2,"PAGAR"&amp;" "&amp;TEXT($B35," #.##0,00"),0)))</f>
        <v>0</v>
      </c>
      <c r="M35" s="111">
        <f>+IF(M$2=$E35,$D35,IF(M$2&gt;M$257,0,IF($C35=M$2,"PAGAR"&amp;" "&amp;TEXT($B35," #.##0,00"),0)))</f>
        <v>0</v>
      </c>
      <c r="N35" s="111">
        <f>+IF(N$2=$E35,$D35,IF(N$2&gt;N$257,0,IF($C35=N$2,"PAGAR"&amp;" "&amp;TEXT($B35," #.##0,00"),0)))</f>
        <v>0</v>
      </c>
      <c r="O35" s="111">
        <f>+IF(O$2=$E35,$D35,IF(O$2&gt;O$257,0,IF($C35=O$2,"PAGAR"&amp;" "&amp;TEXT($B35," #.##0,00"),0)))</f>
        <v>0</v>
      </c>
      <c r="P35" s="111">
        <f>+IF(P$2=$E35,$D35,IF(P$2&gt;P$257,0,IF($C35=P$2,"PAGAR"&amp;" "&amp;TEXT($B35," #.##0,00"),0)))</f>
        <v>0</v>
      </c>
      <c r="Q35" s="111">
        <f>+IF(Q$2=$E35,$D35,IF(Q$2&gt;Q$257,0,IF($C35=Q$2,"PAGAR"&amp;" "&amp;TEXT($B35," #.##0,00"),0)))</f>
        <v>0</v>
      </c>
      <c r="R35" s="111">
        <f>+IF(R$2=$E35,$D35,IF(R$2&gt;R$257,0,IF($C35=R$2,"PAGAR"&amp;" "&amp;TEXT($B35," #.##0,00"),0)))</f>
        <v>0</v>
      </c>
      <c r="S35" s="111">
        <f>+IF(S$2=$E35,$D35,IF(S$2&gt;S$257,0,IF($C35=S$2,"PAGAR"&amp;" "&amp;TEXT($B35," #.##0,00"),0)))</f>
        <v>0</v>
      </c>
      <c r="T35" s="111">
        <f>+IF(T$2=$E35,$D35,IF(T$2&gt;T$257,0,IF($C35=T$2,"PAGAR"&amp;" "&amp;TEXT($B35," #.##0,00"),0)))</f>
        <v>0</v>
      </c>
      <c r="U35" s="111">
        <f>+IF(U$2=$E35,$D35,IF(U$2&gt;U$257,0,IF($C35=U$2,"PAGAR"&amp;" "&amp;TEXT($B35," #.##0,00"),0)))</f>
        <v>0</v>
      </c>
      <c r="V35" s="111">
        <f>+IF(V$2=$E35,$D35,IF(V$2&gt;V$257,0,IF($C35=V$2,"PAGAR"&amp;" "&amp;TEXT($B35," #.##0,00"),0)))</f>
        <v>0</v>
      </c>
      <c r="W35" s="111" t="str">
        <f>+IF(W$2=$E35,$D35,IF(W$2&gt;W$257,0,IF($C35=W$2,"PAGAR"&amp;" "&amp;TEXT($B35," #.##0,00"),0)))</f>
        <v>PAGAR  500,00</v>
      </c>
      <c r="X35" s="111">
        <f>+IF(X$2=$E35,$D35,IF(X$2&gt;X$257,0,IF($C35=X$2,"PAGAR"&amp;" "&amp;TEXT($B35," #.##0,00"),0)))</f>
        <v>0</v>
      </c>
      <c r="Y35" s="111">
        <f>+IF(Y$2=$E35,$D35,IF(Y$2&gt;Y$257,0,IF($C35=Y$2,"PAGAR"&amp;" "&amp;TEXT($B35," #.##0,00"),0)))</f>
        <v>0</v>
      </c>
      <c r="Z35" s="111">
        <f>+IF(Z$2=$E35,$D35,IF(Z$2&gt;Z$257,0,IF($C35=Z$2,"PAGAR"&amp;" "&amp;TEXT($B35," #.##0,00"),0)))</f>
        <v>0</v>
      </c>
      <c r="AA35" s="111">
        <f>+IF(AA$2=$E35,$D35,IF(AA$2&gt;AA$257,0,IF($C35=AA$2,"PAGAR"&amp;" "&amp;TEXT($B35," #.##0,00"),0)))</f>
        <v>0</v>
      </c>
      <c r="AB35" s="111">
        <f>+IF(AB$2=$E35,$D35,IF(AB$2&gt;AB$257,0,IF($C35=AB$2,"PAGAR"&amp;" "&amp;TEXT($B35," #.##0,00"),0)))</f>
        <v>0</v>
      </c>
      <c r="AC35" s="111">
        <f>+IF(AC$2=$E35,$D35,IF(AC$2&gt;AC$257,0,IF($C35=AC$2,"PAGAR"&amp;" "&amp;TEXT($B35," #.##0,00"),0)))</f>
        <v>0</v>
      </c>
      <c r="AD35" s="111">
        <f>+IF(AD$2=$E35,$D35,IF(AD$2&gt;AD$257,0,IF($C35=AD$2,"PAGAR"&amp;" "&amp;TEXT($B35," #.##0,00"),0)))</f>
        <v>0</v>
      </c>
      <c r="AE35" s="111">
        <f>+IF(AE$2=$E35,$D35,IF(AE$2&gt;AE$257,0,IF($C35=AE$2,"PAGAR"&amp;" "&amp;TEXT($B35," #.##0,00"),0)))</f>
        <v>0</v>
      </c>
      <c r="AF35" s="111">
        <f>+IF(AF$2=$E35,$D35,IF(AF$2&gt;AF$257,0,IF($C35=AF$2,"PAGAR"&amp;" "&amp;TEXT($B35," #.##0,00"),0)))</f>
        <v>0</v>
      </c>
      <c r="AG35" s="111">
        <f>+IF(AG$2=$E35,$D35,IF(AG$2&gt;AG$257,0,IF($C35=AG$2,"PAGAR"&amp;" "&amp;TEXT($B35," #.##0,00"),0)))</f>
        <v>0</v>
      </c>
      <c r="AH35" s="111">
        <f>+IF(AH$2=$E35,$D35,IF(AH$2&gt;AH$257,0,IF($C35=AH$2,"PAGAR"&amp;" "&amp;TEXT($B35," #.##0,00"),0)))</f>
        <v>0</v>
      </c>
      <c r="AI35" s="111">
        <f>+IF(AI$2=$E35,$D35,IF(AI$2&gt;AI$257,0,IF($C35=AI$2,"PAGAR"&amp;" "&amp;TEXT($B35," #.##0,00"),0)))</f>
        <v>0</v>
      </c>
      <c r="AJ35" s="111">
        <f>+IF(AJ$2=$E35,$D35,IF(AJ$2&gt;AJ$257,0,IF($C35=AJ$2,"PAGAR"&amp;" "&amp;TEXT($B35," #.##0,00"),0)))</f>
        <v>0</v>
      </c>
      <c r="AK35" s="111">
        <f>+IF(AK$2=$E35,$D35,IF(AK$2&gt;AK$257,0,IF($C35=AK$2,"PAGAR"&amp;" "&amp;TEXT($B35," #.##0,00"),0)))</f>
        <v>0</v>
      </c>
      <c r="AL35" s="111">
        <f>+IF(AL$2=$E35,$D35,IF(AL$2&gt;AL$257,0,IF($C35=AL$2,"PAGAR"&amp;" "&amp;TEXT($B35," #.##0,00"),0)))</f>
        <v>0</v>
      </c>
      <c r="AM35" s="111">
        <f>+IF(AM$2=$E35,$D35,IF(AM$2&gt;AM$257,0,IF($C35=AM$2,"PAGAR"&amp;" "&amp;TEXT($B35," #.##0,00"),0)))</f>
        <v>0</v>
      </c>
      <c r="AN35" s="111">
        <f t="shared" ca="1" si="7"/>
        <v>0</v>
      </c>
      <c r="AO35" s="287">
        <f t="shared" si="8"/>
        <v>0</v>
      </c>
      <c r="AQ35" s="237"/>
      <c r="AR35" s="238"/>
      <c r="AS35" s="239"/>
      <c r="AT35" s="240"/>
      <c r="AU35" s="239"/>
      <c r="AV35" s="240"/>
      <c r="AW35" s="239"/>
      <c r="AX35" s="240"/>
      <c r="AY35" s="239"/>
      <c r="AZ35" s="240"/>
      <c r="BA35" s="239"/>
      <c r="BB35" s="240"/>
      <c r="BC35" s="239"/>
      <c r="BD35" s="241"/>
    </row>
    <row r="36" spans="1:56" ht="15.75" thickBot="1" x14ac:dyDescent="0.3">
      <c r="A36" s="212" t="s">
        <v>199</v>
      </c>
      <c r="B36" s="90">
        <v>569</v>
      </c>
      <c r="C36" s="91">
        <v>15</v>
      </c>
      <c r="D36" s="97"/>
      <c r="E36" s="166"/>
      <c r="F36" s="84">
        <f ca="1">+IF(TODAY()&lt;DATEVALUE(1&amp;D$1&amp;E$1),0,IF(C36&gt;0,IF(C36-SUM(I$255:AM$255)&lt;0,B36-SUM(I36:AM36,0),0),0))+IF(C36=-1,B36-SUM(J36:AM36))</f>
        <v>0</v>
      </c>
      <c r="G36" s="1">
        <f t="shared" si="6"/>
        <v>0</v>
      </c>
      <c r="H36" s="14">
        <f>IF(H$2=$E36,$D36,IF(H$2&gt;H$257,0,IF($C36=H$2,"PAGAR"&amp;" "&amp;TEXT($B36," #.##0,00"),IF($C36=-1,"PAGAR"&amp;" "&amp;TEXT($B36," #.##0,00"),0))))</f>
        <v>0</v>
      </c>
      <c r="I36" s="111">
        <f>IF(I$2=$E36,$D36,IF(I$2&gt;I$257,0,IF($C36=I$2,"PAGAR"&amp;" "&amp;TEXT($B36," #.##0,00"),IF($C36=-1,"PAGAR"&amp;" "&amp;TEXT($B36," #.##0,00"),0))))</f>
        <v>0</v>
      </c>
      <c r="J36" s="111">
        <f>+IF(J$2=$E36,$D36,IF(J$2&gt;J$257,0,IF($C36=J$2,"PAGAR"&amp;" "&amp;TEXT($B36," #.##0,00"),0)))</f>
        <v>0</v>
      </c>
      <c r="K36" s="111">
        <f>+IF(K$2=$E36,$D36,IF(K$2&gt;K$257,0,IF($C36=K$2,"PAGAR"&amp;" "&amp;TEXT($B36," #.##0,00"),0)))</f>
        <v>0</v>
      </c>
      <c r="L36" s="111">
        <f>+IF(L$2=$E36,$D36,IF(L$2&gt;L$257,0,IF($C36=L$2,"PAGAR"&amp;" "&amp;TEXT($B36," #.##0,00"),0)))</f>
        <v>0</v>
      </c>
      <c r="M36" s="111">
        <f>+IF(M$2=$E36,$D36,IF(M$2&gt;M$257,0,IF($C36=M$2,"PAGAR"&amp;" "&amp;TEXT($B36," #.##0,00"),0)))</f>
        <v>0</v>
      </c>
      <c r="N36" s="111">
        <f>+IF(N$2=$E36,$D36,IF(N$2&gt;N$257,0,IF($C36=N$2,"PAGAR"&amp;" "&amp;TEXT($B36," #.##0,00"),0)))</f>
        <v>0</v>
      </c>
      <c r="O36" s="111">
        <f>+IF(O$2=$E36,$D36,IF(O$2&gt;O$257,0,IF($C36=O$2,"PAGAR"&amp;" "&amp;TEXT($B36," #.##0,00"),0)))</f>
        <v>0</v>
      </c>
      <c r="P36" s="111">
        <f>+IF(P$2=$E36,$D36,IF(P$2&gt;P$257,0,IF($C36=P$2,"PAGAR"&amp;" "&amp;TEXT($B36," #.##0,00"),0)))</f>
        <v>0</v>
      </c>
      <c r="Q36" s="111">
        <f>+IF(Q$2=$E36,$D36,IF(Q$2&gt;Q$257,0,IF($C36=Q$2,"PAGAR"&amp;" "&amp;TEXT($B36," #.##0,00"),0)))</f>
        <v>0</v>
      </c>
      <c r="R36" s="111">
        <f>+IF(R$2=$E36,$D36,IF(R$2&gt;R$257,0,IF($C36=R$2,"PAGAR"&amp;" "&amp;TEXT($B36," #.##0,00"),0)))</f>
        <v>0</v>
      </c>
      <c r="S36" s="111">
        <f>+IF(S$2=$E36,$D36,IF(S$2&gt;S$257,0,IF($C36=S$2,"PAGAR"&amp;" "&amp;TEXT($B36," #.##0,00"),0)))</f>
        <v>0</v>
      </c>
      <c r="T36" s="111">
        <f>+IF(T$2=$E36,$D36,IF(T$2&gt;T$257,0,IF($C36=T$2,"PAGAR"&amp;" "&amp;TEXT($B36," #.##0,00"),0)))</f>
        <v>0</v>
      </c>
      <c r="U36" s="111">
        <f>+IF(U$2=$E36,$D36,IF(U$2&gt;U$257,0,IF($C36=U$2,"PAGAR"&amp;" "&amp;TEXT($B36," #.##0,00"),0)))</f>
        <v>0</v>
      </c>
      <c r="V36" s="111">
        <f>+IF(V$2=$E36,$D36,IF(V$2&gt;V$257,0,IF($C36=V$2,"PAGAR"&amp;" "&amp;TEXT($B36," #.##0,00"),0)))</f>
        <v>0</v>
      </c>
      <c r="W36" s="111" t="str">
        <f>+IF(W$2=$E36,$D36,IF(W$2&gt;W$257,0,IF($C36=W$2,"PAGAR"&amp;" "&amp;TEXT($B36," #.##0,00"),0)))</f>
        <v>PAGAR  569,00</v>
      </c>
      <c r="X36" s="111">
        <f>+IF(X$2=$E36,$D36,IF(X$2&gt;X$257,0,IF($C36=X$2,"PAGAR"&amp;" "&amp;TEXT($B36," #.##0,00"),0)))</f>
        <v>0</v>
      </c>
      <c r="Y36" s="111">
        <f>+IF(Y$2=$E36,$D36,IF(Y$2&gt;Y$257,0,IF($C36=Y$2,"PAGAR"&amp;" "&amp;TEXT($B36," #.##0,00"),0)))</f>
        <v>0</v>
      </c>
      <c r="Z36" s="111">
        <f>+IF(Z$2=$E36,$D36,IF(Z$2&gt;Z$257,0,IF($C36=Z$2,"PAGAR"&amp;" "&amp;TEXT($B36," #.##0,00"),0)))</f>
        <v>0</v>
      </c>
      <c r="AA36" s="111">
        <f>+IF(AA$2=$E36,$D36,IF(AA$2&gt;AA$257,0,IF($C36=AA$2,"PAGAR"&amp;" "&amp;TEXT($B36," #.##0,00"),0)))</f>
        <v>0</v>
      </c>
      <c r="AB36" s="111">
        <f>+IF(AB$2=$E36,$D36,IF(AB$2&gt;AB$257,0,IF($C36=AB$2,"PAGAR"&amp;" "&amp;TEXT($B36," #.##0,00"),0)))</f>
        <v>0</v>
      </c>
      <c r="AC36" s="111">
        <f>+IF(AC$2=$E36,$D36,IF(AC$2&gt;AC$257,0,IF($C36=AC$2,"PAGAR"&amp;" "&amp;TEXT($B36," #.##0,00"),0)))</f>
        <v>0</v>
      </c>
      <c r="AD36" s="111">
        <f>+IF(AD$2=$E36,$D36,IF(AD$2&gt;AD$257,0,IF($C36=AD$2,"PAGAR"&amp;" "&amp;TEXT($B36," #.##0,00"),0)))</f>
        <v>0</v>
      </c>
      <c r="AE36" s="111">
        <f>+IF(AE$2=$E36,$D36,IF(AE$2&gt;AE$257,0,IF($C36=AE$2,"PAGAR"&amp;" "&amp;TEXT($B36," #.##0,00"),0)))</f>
        <v>0</v>
      </c>
      <c r="AF36" s="111">
        <f>+IF(AF$2=$E36,$D36,IF(AF$2&gt;AF$257,0,IF($C36=AF$2,"PAGAR"&amp;" "&amp;TEXT($B36," #.##0,00"),0)))</f>
        <v>0</v>
      </c>
      <c r="AG36" s="111">
        <f>+IF(AG$2=$E36,$D36,IF(AG$2&gt;AG$257,0,IF($C36=AG$2,"PAGAR"&amp;" "&amp;TEXT($B36," #.##0,00"),0)))</f>
        <v>0</v>
      </c>
      <c r="AH36" s="111">
        <f>+IF(AH$2=$E36,$D36,IF(AH$2&gt;AH$257,0,IF($C36=AH$2,"PAGAR"&amp;" "&amp;TEXT($B36," #.##0,00"),0)))</f>
        <v>0</v>
      </c>
      <c r="AI36" s="111">
        <f>+IF(AI$2=$E36,$D36,IF(AI$2&gt;AI$257,0,IF($C36=AI$2,"PAGAR"&amp;" "&amp;TEXT($B36," #.##0,00"),0)))</f>
        <v>0</v>
      </c>
      <c r="AJ36" s="111">
        <f>+IF(AJ$2=$E36,$D36,IF(AJ$2&gt;AJ$257,0,IF($C36=AJ$2,"PAGAR"&amp;" "&amp;TEXT($B36," #.##0,00"),0)))</f>
        <v>0</v>
      </c>
      <c r="AK36" s="111">
        <f>+IF(AK$2=$E36,$D36,IF(AK$2&gt;AK$257,0,IF($C36=AK$2,"PAGAR"&amp;" "&amp;TEXT($B36," #.##0,00"),0)))</f>
        <v>0</v>
      </c>
      <c r="AL36" s="111">
        <f>+IF(AL$2=$E36,$D36,IF(AL$2&gt;AL$257,0,IF($C36=AL$2,"PAGAR"&amp;" "&amp;TEXT($B36," #.##0,00"),0)))</f>
        <v>0</v>
      </c>
      <c r="AM36" s="111">
        <f>+IF(AM$2=$E36,$D36,IF(AM$2&gt;AM$257,0,IF($C36=AM$2,"PAGAR"&amp;" "&amp;TEXT($B36," #.##0,00"),0)))</f>
        <v>0</v>
      </c>
      <c r="AN36" s="111">
        <f t="shared" ca="1" si="7"/>
        <v>0</v>
      </c>
      <c r="AO36" s="287">
        <f t="shared" si="8"/>
        <v>0</v>
      </c>
      <c r="AQ36" s="233"/>
      <c r="AR36" s="231"/>
      <c r="AS36" s="235"/>
      <c r="AT36" s="228"/>
      <c r="AU36" s="235"/>
      <c r="AV36" s="228"/>
      <c r="AW36" s="235"/>
      <c r="AX36" s="228"/>
      <c r="AY36" s="235"/>
      <c r="AZ36" s="228"/>
      <c r="BA36" s="235"/>
      <c r="BB36" s="228"/>
      <c r="BC36" s="235"/>
      <c r="BD36" s="229"/>
    </row>
    <row r="37" spans="1:56" ht="18.75" x14ac:dyDescent="0.3">
      <c r="A37" s="212" t="s">
        <v>200</v>
      </c>
      <c r="B37" s="90">
        <v>1000</v>
      </c>
      <c r="C37" s="91">
        <v>2</v>
      </c>
      <c r="D37" s="97"/>
      <c r="E37" s="166"/>
      <c r="F37" s="84">
        <f ca="1">+IF(TODAY()&lt;DATEVALUE(1&amp;D$1&amp;E$1),0,IF(C37&gt;0,IF(C37-SUM(I$255:AM$255)&lt;0,B37-SUM(I37:AM37,0),0),0))+IF(C37=-1,B37-SUM(J37:AM37))</f>
        <v>1000</v>
      </c>
      <c r="G37" s="1">
        <f t="shared" si="6"/>
        <v>0</v>
      </c>
      <c r="H37" s="14">
        <f>IF(H$2=$E37,$D37,IF(H$2&gt;H$257,0,IF($C37=H$2,"PAGAR"&amp;" "&amp;TEXT($B37," #.##0,00"),IF($C37=-1,"PAGAR"&amp;" "&amp;TEXT($B37," #.##0,00"),0))))</f>
        <v>0</v>
      </c>
      <c r="I37" s="111">
        <f>IF(I$2=$E37,$D37,IF(I$2&gt;I$257,0,IF($C37=I$2,"PAGAR"&amp;" "&amp;TEXT($B37," #.##0,00"),IF($C37=-1,"PAGAR"&amp;" "&amp;TEXT($B37," #.##0,00"),0))))</f>
        <v>0</v>
      </c>
      <c r="J37" s="111" t="str">
        <f>+IF(J$2=$E37,$D37,IF(J$2&gt;J$257,0,IF($C37=J$2,"PAGAR"&amp;" "&amp;TEXT($B37," #.##0,00"),0)))</f>
        <v>PAGAR  1.000,00</v>
      </c>
      <c r="K37" s="111">
        <f>+IF(K$2=$E37,$D37,IF(K$2&gt;K$257,0,IF($C37=K$2,"PAGAR"&amp;" "&amp;TEXT($B37," #.##0,00"),0)))</f>
        <v>0</v>
      </c>
      <c r="L37" s="111">
        <f>+IF(L$2=$E37,$D37,IF(L$2&gt;L$257,0,IF($C37=L$2,"PAGAR"&amp;" "&amp;TEXT($B37," #.##0,00"),0)))</f>
        <v>0</v>
      </c>
      <c r="M37" s="111">
        <f>+IF(M$2=$E37,$D37,IF(M$2&gt;M$257,0,IF($C37=M$2,"PAGAR"&amp;" "&amp;TEXT($B37," #.##0,00"),0)))</f>
        <v>0</v>
      </c>
      <c r="N37" s="111">
        <f>+IF(N$2=$E37,$D37,IF(N$2&gt;N$257,0,IF($C37=N$2,"PAGAR"&amp;" "&amp;TEXT($B37," #.##0,00"),0)))</f>
        <v>0</v>
      </c>
      <c r="O37" s="111">
        <f>+IF(O$2=$E37,$D37,IF(O$2&gt;O$257,0,IF($C37=O$2,"PAGAR"&amp;" "&amp;TEXT($B37," #.##0,00"),0)))</f>
        <v>0</v>
      </c>
      <c r="P37" s="111">
        <f>+IF(P$2=$E37,$D37,IF(P$2&gt;P$257,0,IF($C37=P$2,"PAGAR"&amp;" "&amp;TEXT($B37," #.##0,00"),0)))</f>
        <v>0</v>
      </c>
      <c r="Q37" s="111">
        <f>+IF(Q$2=$E37,$D37,IF(Q$2&gt;Q$257,0,IF($C37=Q$2,"PAGAR"&amp;" "&amp;TEXT($B37," #.##0,00"),0)))</f>
        <v>0</v>
      </c>
      <c r="R37" s="111">
        <f>+IF(R$2=$E37,$D37,IF(R$2&gt;R$257,0,IF($C37=R$2,"PAGAR"&amp;" "&amp;TEXT($B37," #.##0,00"),0)))</f>
        <v>0</v>
      </c>
      <c r="S37" s="111">
        <f>+IF(S$2=$E37,$D37,IF(S$2&gt;S$257,0,IF($C37=S$2,"PAGAR"&amp;" "&amp;TEXT($B37," #.##0,00"),0)))</f>
        <v>0</v>
      </c>
      <c r="T37" s="111">
        <f>+IF(T$2=$E37,$D37,IF(T$2&gt;T$257,0,IF($C37=T$2,"PAGAR"&amp;" "&amp;TEXT($B37," #.##0,00"),0)))</f>
        <v>0</v>
      </c>
      <c r="U37" s="111">
        <f>+IF(U$2=$E37,$D37,IF(U$2&gt;U$257,0,IF($C37=U$2,"PAGAR"&amp;" "&amp;TEXT($B37," #.##0,00"),0)))</f>
        <v>0</v>
      </c>
      <c r="V37" s="111">
        <f>+IF(V$2=$E37,$D37,IF(V$2&gt;V$257,0,IF($C37=V$2,"PAGAR"&amp;" "&amp;TEXT($B37," #.##0,00"),0)))</f>
        <v>0</v>
      </c>
      <c r="W37" s="111">
        <f>+IF(W$2=$E37,$D37,IF(W$2&gt;W$257,0,IF($C37=W$2,"PAGAR"&amp;" "&amp;TEXT($B37," #.##0,00"),0)))</f>
        <v>0</v>
      </c>
      <c r="X37" s="111">
        <f>+IF(X$2=$E37,$D37,IF(X$2&gt;X$257,0,IF($C37=X$2,"PAGAR"&amp;" "&amp;TEXT($B37," #.##0,00"),0)))</f>
        <v>0</v>
      </c>
      <c r="Y37" s="111">
        <f>+IF(Y$2=$E37,$D37,IF(Y$2&gt;Y$257,0,IF($C37=Y$2,"PAGAR"&amp;" "&amp;TEXT($B37," #.##0,00"),0)))</f>
        <v>0</v>
      </c>
      <c r="Z37" s="111">
        <f>+IF(Z$2=$E37,$D37,IF(Z$2&gt;Z$257,0,IF($C37=Z$2,"PAGAR"&amp;" "&amp;TEXT($B37," #.##0,00"),0)))</f>
        <v>0</v>
      </c>
      <c r="AA37" s="111">
        <f>+IF(AA$2=$E37,$D37,IF(AA$2&gt;AA$257,0,IF($C37=AA$2,"PAGAR"&amp;" "&amp;TEXT($B37," #.##0,00"),0)))</f>
        <v>0</v>
      </c>
      <c r="AB37" s="111">
        <f>+IF(AB$2=$E37,$D37,IF(AB$2&gt;AB$257,0,IF($C37=AB$2,"PAGAR"&amp;" "&amp;TEXT($B37," #.##0,00"),0)))</f>
        <v>0</v>
      </c>
      <c r="AC37" s="111">
        <f>+IF(AC$2=$E37,$D37,IF(AC$2&gt;AC$257,0,IF($C37=AC$2,"PAGAR"&amp;" "&amp;TEXT($B37," #.##0,00"),0)))</f>
        <v>0</v>
      </c>
      <c r="AD37" s="111">
        <f>+IF(AD$2=$E37,$D37,IF(AD$2&gt;AD$257,0,IF($C37=AD$2,"PAGAR"&amp;" "&amp;TEXT($B37," #.##0,00"),0)))</f>
        <v>0</v>
      </c>
      <c r="AE37" s="111">
        <f>+IF(AE$2=$E37,$D37,IF(AE$2&gt;AE$257,0,IF($C37=AE$2,"PAGAR"&amp;" "&amp;TEXT($B37," #.##0,00"),0)))</f>
        <v>0</v>
      </c>
      <c r="AF37" s="111">
        <f>+IF(AF$2=$E37,$D37,IF(AF$2&gt;AF$257,0,IF($C37=AF$2,"PAGAR"&amp;" "&amp;TEXT($B37," #.##0,00"),0)))</f>
        <v>0</v>
      </c>
      <c r="AG37" s="111">
        <f>+IF(AG$2=$E37,$D37,IF(AG$2&gt;AG$257,0,IF($C37=AG$2,"PAGAR"&amp;" "&amp;TEXT($B37," #.##0,00"),0)))</f>
        <v>0</v>
      </c>
      <c r="AH37" s="111">
        <f>+IF(AH$2=$E37,$D37,IF(AH$2&gt;AH$257,0,IF($C37=AH$2,"PAGAR"&amp;" "&amp;TEXT($B37," #.##0,00"),0)))</f>
        <v>0</v>
      </c>
      <c r="AI37" s="111">
        <f>+IF(AI$2=$E37,$D37,IF(AI$2&gt;AI$257,0,IF($C37=AI$2,"PAGAR"&amp;" "&amp;TEXT($B37," #.##0,00"),0)))</f>
        <v>0</v>
      </c>
      <c r="AJ37" s="111">
        <f>+IF(AJ$2=$E37,$D37,IF(AJ$2&gt;AJ$257,0,IF($C37=AJ$2,"PAGAR"&amp;" "&amp;TEXT($B37," #.##0,00"),0)))</f>
        <v>0</v>
      </c>
      <c r="AK37" s="111">
        <f>+IF(AK$2=$E37,$D37,IF(AK$2&gt;AK$257,0,IF($C37=AK$2,"PAGAR"&amp;" "&amp;TEXT($B37," #.##0,00"),0)))</f>
        <v>0</v>
      </c>
      <c r="AL37" s="111">
        <f>+IF(AL$2=$E37,$D37,IF(AL$2&gt;AL$257,0,IF($C37=AL$2,"PAGAR"&amp;" "&amp;TEXT($B37," #.##0,00"),0)))</f>
        <v>0</v>
      </c>
      <c r="AM37" s="111">
        <f>+IF(AM$2=$E37,$D37,IF(AM$2&gt;AM$257,0,IF($C37=AM$2,"PAGAR"&amp;" "&amp;TEXT($B37," #.##0,00"),0)))</f>
        <v>0</v>
      </c>
      <c r="AN37" s="111">
        <f t="shared" ca="1" si="7"/>
        <v>0</v>
      </c>
      <c r="AO37" s="287">
        <f t="shared" si="8"/>
        <v>0</v>
      </c>
      <c r="AQ37" s="308">
        <v>22</v>
      </c>
      <c r="AR37" s="309"/>
      <c r="AS37" s="310">
        <v>23</v>
      </c>
      <c r="AT37" s="311"/>
      <c r="AU37" s="312">
        <v>24</v>
      </c>
      <c r="AV37" s="309"/>
      <c r="AW37" s="310">
        <v>25</v>
      </c>
      <c r="AX37" s="311"/>
      <c r="AY37" s="312">
        <v>26</v>
      </c>
      <c r="AZ37" s="309"/>
      <c r="BA37" s="310">
        <v>27</v>
      </c>
      <c r="BB37" s="311"/>
      <c r="BC37" s="312">
        <v>28</v>
      </c>
      <c r="BD37" s="313"/>
    </row>
    <row r="38" spans="1:56" x14ac:dyDescent="0.25">
      <c r="A38" s="212" t="s">
        <v>201</v>
      </c>
      <c r="B38" s="90">
        <v>1890</v>
      </c>
      <c r="C38" s="91">
        <v>3</v>
      </c>
      <c r="D38" s="97"/>
      <c r="E38" s="166"/>
      <c r="F38" s="84">
        <f ca="1">+IF(TODAY()&lt;DATEVALUE(1&amp;D$1&amp;E$1),0,IF(C38&gt;0,IF(C38-SUM(I$255:AM$255)&lt;0,B38-SUM(I38:AM38,0),0),0))+IF(C38=-1,B38-SUM(J38:AM38))</f>
        <v>1890</v>
      </c>
      <c r="G38" s="1">
        <f t="shared" si="6"/>
        <v>0</v>
      </c>
      <c r="H38" s="14">
        <f>IF(H$2=$E38,$D38,IF(H$2&gt;H$257,0,IF($C38=H$2,"PAGAR"&amp;" "&amp;TEXT($B38," #.##0,00"),IF($C38=-1,"PAGAR"&amp;" "&amp;TEXT($B38," #.##0,00"),0))))</f>
        <v>0</v>
      </c>
      <c r="I38" s="111">
        <f>IF(I$2=$E38,$D38,IF(I$2&gt;I$257,0,IF($C38=I$2,"PAGAR"&amp;" "&amp;TEXT($B38," #.##0,00"),IF($C38=-1,"PAGAR"&amp;" "&amp;TEXT($B38," #.##0,00"),0))))</f>
        <v>0</v>
      </c>
      <c r="J38" s="111">
        <f>+IF(J$2=$E38,$D38,IF(J$2&gt;J$257,0,IF($C38=J$2,"PAGAR"&amp;" "&amp;TEXT($B38," #.##0,00"),0)))</f>
        <v>0</v>
      </c>
      <c r="K38" s="111" t="str">
        <f>+IF(K$2=$E38,$D38,IF(K$2&gt;K$257,0,IF($C38=K$2,"PAGAR"&amp;" "&amp;TEXT($B38," #.##0,00"),0)))</f>
        <v>PAGAR  1.890,00</v>
      </c>
      <c r="L38" s="111">
        <f>+IF(L$2=$E38,$D38,IF(L$2&gt;L$257,0,IF($C38=L$2,"PAGAR"&amp;" "&amp;TEXT($B38," #.##0,00"),0)))</f>
        <v>0</v>
      </c>
      <c r="M38" s="111">
        <f>+IF(M$2=$E38,$D38,IF(M$2&gt;M$257,0,IF($C38=M$2,"PAGAR"&amp;" "&amp;TEXT($B38," #.##0,00"),0)))</f>
        <v>0</v>
      </c>
      <c r="N38" s="111">
        <f>+IF(N$2=$E38,$D38,IF(N$2&gt;N$257,0,IF($C38=N$2,"PAGAR"&amp;" "&amp;TEXT($B38," #.##0,00"),0)))</f>
        <v>0</v>
      </c>
      <c r="O38" s="111">
        <f>+IF(O$2=$E38,$D38,IF(O$2&gt;O$257,0,IF($C38=O$2,"PAGAR"&amp;" "&amp;TEXT($B38," #.##0,00"),0)))</f>
        <v>0</v>
      </c>
      <c r="P38" s="111">
        <f>+IF(P$2=$E38,$D38,IF(P$2&gt;P$257,0,IF($C38=P$2,"PAGAR"&amp;" "&amp;TEXT($B38," #.##0,00"),0)))</f>
        <v>0</v>
      </c>
      <c r="Q38" s="111">
        <f>+IF(Q$2=$E38,$D38,IF(Q$2&gt;Q$257,0,IF($C38=Q$2,"PAGAR"&amp;" "&amp;TEXT($B38," #.##0,00"),0)))</f>
        <v>0</v>
      </c>
      <c r="R38" s="111">
        <f>+IF(R$2=$E38,$D38,IF(R$2&gt;R$257,0,IF($C38=R$2,"PAGAR"&amp;" "&amp;TEXT($B38," #.##0,00"),0)))</f>
        <v>0</v>
      </c>
      <c r="S38" s="111">
        <f>+IF(S$2=$E38,$D38,IF(S$2&gt;S$257,0,IF($C38=S$2,"PAGAR"&amp;" "&amp;TEXT($B38," #.##0,00"),0)))</f>
        <v>0</v>
      </c>
      <c r="T38" s="111">
        <f>+IF(T$2=$E38,$D38,IF(T$2&gt;T$257,0,IF($C38=T$2,"PAGAR"&amp;" "&amp;TEXT($B38," #.##0,00"),0)))</f>
        <v>0</v>
      </c>
      <c r="U38" s="111">
        <f>+IF(U$2=$E38,$D38,IF(U$2&gt;U$257,0,IF($C38=U$2,"PAGAR"&amp;" "&amp;TEXT($B38," #.##0,00"),0)))</f>
        <v>0</v>
      </c>
      <c r="V38" s="111">
        <f>+IF(V$2=$E38,$D38,IF(V$2&gt;V$257,0,IF($C38=V$2,"PAGAR"&amp;" "&amp;TEXT($B38," #.##0,00"),0)))</f>
        <v>0</v>
      </c>
      <c r="W38" s="111">
        <f>+IF(W$2=$E38,$D38,IF(W$2&gt;W$257,0,IF($C38=W$2,"PAGAR"&amp;" "&amp;TEXT($B38," #.##0,00"),0)))</f>
        <v>0</v>
      </c>
      <c r="X38" s="111">
        <f>+IF(X$2=$E38,$D38,IF(X$2&gt;X$257,0,IF($C38=X$2,"PAGAR"&amp;" "&amp;TEXT($B38," #.##0,00"),0)))</f>
        <v>0</v>
      </c>
      <c r="Y38" s="111">
        <f>+IF(Y$2=$E38,$D38,IF(Y$2&gt;Y$257,0,IF($C38=Y$2,"PAGAR"&amp;" "&amp;TEXT($B38," #.##0,00"),0)))</f>
        <v>0</v>
      </c>
      <c r="Z38" s="111">
        <f>+IF(Z$2=$E38,$D38,IF(Z$2&gt;Z$257,0,IF($C38=Z$2,"PAGAR"&amp;" "&amp;TEXT($B38," #.##0,00"),0)))</f>
        <v>0</v>
      </c>
      <c r="AA38" s="111">
        <f>+IF(AA$2=$E38,$D38,IF(AA$2&gt;AA$257,0,IF($C38=AA$2,"PAGAR"&amp;" "&amp;TEXT($B38," #.##0,00"),0)))</f>
        <v>0</v>
      </c>
      <c r="AB38" s="111">
        <f>+IF(AB$2=$E38,$D38,IF(AB$2&gt;AB$257,0,IF($C38=AB$2,"PAGAR"&amp;" "&amp;TEXT($B38," #.##0,00"),0)))</f>
        <v>0</v>
      </c>
      <c r="AC38" s="111">
        <f>+IF(AC$2=$E38,$D38,IF(AC$2&gt;AC$257,0,IF($C38=AC$2,"PAGAR"&amp;" "&amp;TEXT($B38," #.##0,00"),0)))</f>
        <v>0</v>
      </c>
      <c r="AD38" s="111">
        <f>+IF(AD$2=$E38,$D38,IF(AD$2&gt;AD$257,0,IF($C38=AD$2,"PAGAR"&amp;" "&amp;TEXT($B38," #.##0,00"),0)))</f>
        <v>0</v>
      </c>
      <c r="AE38" s="111">
        <f>+IF(AE$2=$E38,$D38,IF(AE$2&gt;AE$257,0,IF($C38=AE$2,"PAGAR"&amp;" "&amp;TEXT($B38," #.##0,00"),0)))</f>
        <v>0</v>
      </c>
      <c r="AF38" s="111">
        <f>+IF(AF$2=$E38,$D38,IF(AF$2&gt;AF$257,0,IF($C38=AF$2,"PAGAR"&amp;" "&amp;TEXT($B38," #.##0,00"),0)))</f>
        <v>0</v>
      </c>
      <c r="AG38" s="111">
        <f>+IF(AG$2=$E38,$D38,IF(AG$2&gt;AG$257,0,IF($C38=AG$2,"PAGAR"&amp;" "&amp;TEXT($B38," #.##0,00"),0)))</f>
        <v>0</v>
      </c>
      <c r="AH38" s="111">
        <f>+IF(AH$2=$E38,$D38,IF(AH$2&gt;AH$257,0,IF($C38=AH$2,"PAGAR"&amp;" "&amp;TEXT($B38," #.##0,00"),0)))</f>
        <v>0</v>
      </c>
      <c r="AI38" s="111">
        <f>+IF(AI$2=$E38,$D38,IF(AI$2&gt;AI$257,0,IF($C38=AI$2,"PAGAR"&amp;" "&amp;TEXT($B38," #.##0,00"),0)))</f>
        <v>0</v>
      </c>
      <c r="AJ38" s="111">
        <f>+IF(AJ$2=$E38,$D38,IF(AJ$2&gt;AJ$257,0,IF($C38=AJ$2,"PAGAR"&amp;" "&amp;TEXT($B38," #.##0,00"),0)))</f>
        <v>0</v>
      </c>
      <c r="AK38" s="111">
        <f>+IF(AK$2=$E38,$D38,IF(AK$2&gt;AK$257,0,IF($C38=AK$2,"PAGAR"&amp;" "&amp;TEXT($B38," #.##0,00"),0)))</f>
        <v>0</v>
      </c>
      <c r="AL38" s="111">
        <f>+IF(AL$2=$E38,$D38,IF(AL$2&gt;AL$257,0,IF($C38=AL$2,"PAGAR"&amp;" "&amp;TEXT($B38," #.##0,00"),0)))</f>
        <v>0</v>
      </c>
      <c r="AM38" s="111">
        <f>+IF(AM$2=$E38,$D38,IF(AM$2&gt;AM$257,0,IF($C38=AM$2,"PAGAR"&amp;" "&amp;TEXT($B38," #.##0,00"),0)))</f>
        <v>0</v>
      </c>
      <c r="AN38" s="111">
        <f t="shared" ca="1" si="7"/>
        <v>0</v>
      </c>
      <c r="AO38" s="287">
        <f t="shared" si="8"/>
        <v>0</v>
      </c>
      <c r="AQ38" s="232" t="str" cm="1">
        <f t="array" ref="AQ38">_xlfn._xlws.FILTER($A$5:$A$152,$C$5:$C$152=AQ37,"livre")</f>
        <v>Google One IA - Cartão</v>
      </c>
      <c r="AR38" s="230" cm="1">
        <f t="array" ref="AR38">_xlfn._xlws.FILTER($B$5:$B$152,$C$5:$C$152=AQ37,"livre")</f>
        <v>96.99</v>
      </c>
      <c r="AS38" s="234" t="str" cm="1">
        <f t="array" ref="AS38">_xlfn._xlws.FILTER($A$5:$A$152,$C$5:$C$152=AS37,"livre")</f>
        <v>Barão Aluguel</v>
      </c>
      <c r="AT38" s="225" cm="1">
        <f t="array" ref="AT38">_xlfn._xlws.FILTER($B$5:$B$152,$C$5:$C$152=AS37,"livre")</f>
        <v>4377.08</v>
      </c>
      <c r="AU38" s="234" t="str" cm="1">
        <f t="array" ref="AU38">_xlfn._xlws.FILTER($A$5:$A$152,$C$5:$C$152=AU37,"livre")</f>
        <v>livre</v>
      </c>
      <c r="AV38" s="225" t="str" cm="1">
        <f t="array" ref="AV38">_xlfn._xlws.FILTER($B$5:$B$152,$C$5:$C$152=AU37,"livre")</f>
        <v>livre</v>
      </c>
      <c r="AW38" s="234" t="str" cm="1">
        <f t="array" ref="AW38:AW41">_xlfn._xlws.FILTER($A$5:$A$152,$C$5:$C$152=AW37,"livre")</f>
        <v>Seguro Vida Presente 21</v>
      </c>
      <c r="AX38" s="225" cm="1">
        <f t="array" ref="AX38:AX41">_xlfn._xlws.FILTER($B$5:$B$152,$C$5:$C$152=AW37,"livre")</f>
        <v>770.07</v>
      </c>
      <c r="AY38" s="234" t="str" cm="1">
        <f t="array" ref="AY38:AY41">_xlfn._xlws.FILTER($A$5:$A$152,$C$5:$C$152=AY37,"livre")</f>
        <v>Água Barão</v>
      </c>
      <c r="AZ38" s="226" cm="1">
        <f t="array" ref="AZ38:AZ41">_xlfn._xlws.FILTER($B$5:$B$152,$C$5:$C$152=AY37,"livre")</f>
        <v>2775</v>
      </c>
      <c r="BA38" s="236" t="str" cm="1">
        <f t="array" ref="BA38">_xlfn._xlws.FILTER($A$5:$A$152,$C$5:$C$152=BA37,"livre")</f>
        <v>IPTU Reserva</v>
      </c>
      <c r="BB38" s="226" cm="1">
        <f t="array" ref="BB38">_xlfn._xlws.FILTER($B$5:$B$152,$C$5:$C$152=BA37,"livre")</f>
        <v>524.07000000000005</v>
      </c>
      <c r="BC38" s="236" t="str" cm="1">
        <f t="array" ref="BC38:BC43">_xlfn._xlws.FILTER($A$5:$A$152,$C$5:$C$152=BC37,"livre")</f>
        <v>Cartão</v>
      </c>
      <c r="BD38" s="227" cm="1">
        <f t="array" ref="BD38:BD43">_xlfn._xlws.FILTER($B$5:$B$152,$C$5:$C$152=BC37,"livre")</f>
        <v>1928.17</v>
      </c>
    </row>
    <row r="39" spans="1:56" x14ac:dyDescent="0.25">
      <c r="A39" s="212" t="s">
        <v>206</v>
      </c>
      <c r="B39" s="90">
        <v>420</v>
      </c>
      <c r="C39" s="91">
        <v>3</v>
      </c>
      <c r="D39" s="97"/>
      <c r="E39" s="166"/>
      <c r="F39" s="84">
        <f ca="1">+IF(TODAY()&lt;DATEVALUE(1&amp;D$1&amp;E$1),0,IF(C39&gt;0,IF(C39-SUM(I$255:AM$255)&lt;0,B39-SUM(I39:AM39,0),0),0))+IF(C39=-1,B39-SUM(J39:AM39))</f>
        <v>420</v>
      </c>
      <c r="G39" s="1">
        <f t="shared" si="6"/>
        <v>0</v>
      </c>
      <c r="H39" s="14">
        <f>IF(H$2=$E39,$D39,IF(H$2&gt;H$257,0,IF($C39=H$2,"PAGAR"&amp;" "&amp;TEXT($B39," #.##0,00"),IF($C39=-1,"PAGAR"&amp;" "&amp;TEXT($B39," #.##0,00"),0))))</f>
        <v>0</v>
      </c>
      <c r="I39" s="111">
        <f>IF(I$2=$E39,$D39,IF(I$2&gt;I$257,0,IF($C39=I$2,"PAGAR"&amp;" "&amp;TEXT($B39," #.##0,00"),IF($C39=-1,"PAGAR"&amp;" "&amp;TEXT($B39," #.##0,00"),0))))</f>
        <v>0</v>
      </c>
      <c r="J39" s="111">
        <f>+IF(J$2=$E39,$D39,IF(J$2&gt;J$257,0,IF($C39=J$2,"PAGAR"&amp;" "&amp;TEXT($B39," #.##0,00"),0)))</f>
        <v>0</v>
      </c>
      <c r="K39" s="111" t="str">
        <f>+IF(K$2=$E39,$D39,IF(K$2&gt;K$257,0,IF($C39=K$2,"PAGAR"&amp;" "&amp;TEXT($B39," #.##0,00"),0)))</f>
        <v>PAGAR  420,00</v>
      </c>
      <c r="L39" s="111">
        <f>+IF(L$2=$E39,$D39,IF(L$2&gt;L$257,0,IF($C39=L$2,"PAGAR"&amp;" "&amp;TEXT($B39," #.##0,00"),0)))</f>
        <v>0</v>
      </c>
      <c r="M39" s="111">
        <f>+IF(M$2=$E39,$D39,IF(M$2&gt;M$257,0,IF($C39=M$2,"PAGAR"&amp;" "&amp;TEXT($B39," #.##0,00"),0)))</f>
        <v>0</v>
      </c>
      <c r="N39" s="111">
        <f>+IF(N$2=$E39,$D39,IF(N$2&gt;N$257,0,IF($C39=N$2,"PAGAR"&amp;" "&amp;TEXT($B39," #.##0,00"),0)))</f>
        <v>0</v>
      </c>
      <c r="O39" s="111">
        <f>+IF(O$2=$E39,$D39,IF(O$2&gt;O$257,0,IF($C39=O$2,"PAGAR"&amp;" "&amp;TEXT($B39," #.##0,00"),0)))</f>
        <v>0</v>
      </c>
      <c r="P39" s="111">
        <f>+IF(P$2=$E39,$D39,IF(P$2&gt;P$257,0,IF($C39=P$2,"PAGAR"&amp;" "&amp;TEXT($B39," #.##0,00"),0)))</f>
        <v>0</v>
      </c>
      <c r="Q39" s="111">
        <f>+IF(Q$2=$E39,$D39,IF(Q$2&gt;Q$257,0,IF($C39=Q$2,"PAGAR"&amp;" "&amp;TEXT($B39," #.##0,00"),0)))</f>
        <v>0</v>
      </c>
      <c r="R39" s="111">
        <f>+IF(R$2=$E39,$D39,IF(R$2&gt;R$257,0,IF($C39=R$2,"PAGAR"&amp;" "&amp;TEXT($B39," #.##0,00"),0)))</f>
        <v>0</v>
      </c>
      <c r="S39" s="111">
        <f>+IF(S$2=$E39,$D39,IF(S$2&gt;S$257,0,IF($C39=S$2,"PAGAR"&amp;" "&amp;TEXT($B39," #.##0,00"),0)))</f>
        <v>0</v>
      </c>
      <c r="T39" s="111">
        <f>+IF(T$2=$E39,$D39,IF(T$2&gt;T$257,0,IF($C39=T$2,"PAGAR"&amp;" "&amp;TEXT($B39," #.##0,00"),0)))</f>
        <v>0</v>
      </c>
      <c r="U39" s="111">
        <f>+IF(U$2=$E39,$D39,IF(U$2&gt;U$257,0,IF($C39=U$2,"PAGAR"&amp;" "&amp;TEXT($B39," #.##0,00"),0)))</f>
        <v>0</v>
      </c>
      <c r="V39" s="111">
        <f>+IF(V$2=$E39,$D39,IF(V$2&gt;V$257,0,IF($C39=V$2,"PAGAR"&amp;" "&amp;TEXT($B39," #.##0,00"),0)))</f>
        <v>0</v>
      </c>
      <c r="W39" s="111">
        <f>+IF(W$2=$E39,$D39,IF(W$2&gt;W$257,0,IF($C39=W$2,"PAGAR"&amp;" "&amp;TEXT($B39," #.##0,00"),0)))</f>
        <v>0</v>
      </c>
      <c r="X39" s="111">
        <f>+IF(X$2=$E39,$D39,IF(X$2&gt;X$257,0,IF($C39=X$2,"PAGAR"&amp;" "&amp;TEXT($B39," #.##0,00"),0)))</f>
        <v>0</v>
      </c>
      <c r="Y39" s="111">
        <f>+IF(Y$2=$E39,$D39,IF(Y$2&gt;Y$257,0,IF($C39=Y$2,"PAGAR"&amp;" "&amp;TEXT($B39," #.##0,00"),0)))</f>
        <v>0</v>
      </c>
      <c r="Z39" s="111">
        <f>+IF(Z$2=$E39,$D39,IF(Z$2&gt;Z$257,0,IF($C39=Z$2,"PAGAR"&amp;" "&amp;TEXT($B39," #.##0,00"),0)))</f>
        <v>0</v>
      </c>
      <c r="AA39" s="111">
        <f>+IF(AA$2=$E39,$D39,IF(AA$2&gt;AA$257,0,IF($C39=AA$2,"PAGAR"&amp;" "&amp;TEXT($B39," #.##0,00"),0)))</f>
        <v>0</v>
      </c>
      <c r="AB39" s="111">
        <f>+IF(AB$2=$E39,$D39,IF(AB$2&gt;AB$257,0,IF($C39=AB$2,"PAGAR"&amp;" "&amp;TEXT($B39," #.##0,00"),0)))</f>
        <v>0</v>
      </c>
      <c r="AC39" s="111">
        <f>+IF(AC$2=$E39,$D39,IF(AC$2&gt;AC$257,0,IF($C39=AC$2,"PAGAR"&amp;" "&amp;TEXT($B39," #.##0,00"),0)))</f>
        <v>0</v>
      </c>
      <c r="AD39" s="111">
        <f>+IF(AD$2=$E39,$D39,IF(AD$2&gt;AD$257,0,IF($C39=AD$2,"PAGAR"&amp;" "&amp;TEXT($B39," #.##0,00"),0)))</f>
        <v>0</v>
      </c>
      <c r="AE39" s="111">
        <f>+IF(AE$2=$E39,$D39,IF(AE$2&gt;AE$257,0,IF($C39=AE$2,"PAGAR"&amp;" "&amp;TEXT($B39," #.##0,00"),0)))</f>
        <v>0</v>
      </c>
      <c r="AF39" s="111">
        <f>+IF(AF$2=$E39,$D39,IF(AF$2&gt;AF$257,0,IF($C39=AF$2,"PAGAR"&amp;" "&amp;TEXT($B39," #.##0,00"),0)))</f>
        <v>0</v>
      </c>
      <c r="AG39" s="111">
        <f>+IF(AG$2=$E39,$D39,IF(AG$2&gt;AG$257,0,IF($C39=AG$2,"PAGAR"&amp;" "&amp;TEXT($B39," #.##0,00"),0)))</f>
        <v>0</v>
      </c>
      <c r="AH39" s="111">
        <f>+IF(AH$2=$E39,$D39,IF(AH$2&gt;AH$257,0,IF($C39=AH$2,"PAGAR"&amp;" "&amp;TEXT($B39," #.##0,00"),0)))</f>
        <v>0</v>
      </c>
      <c r="AI39" s="111">
        <f>+IF(AI$2=$E39,$D39,IF(AI$2&gt;AI$257,0,IF($C39=AI$2,"PAGAR"&amp;" "&amp;TEXT($B39," #.##0,00"),0)))</f>
        <v>0</v>
      </c>
      <c r="AJ39" s="111">
        <f>+IF(AJ$2=$E39,$D39,IF(AJ$2&gt;AJ$257,0,IF($C39=AJ$2,"PAGAR"&amp;" "&amp;TEXT($B39," #.##0,00"),0)))</f>
        <v>0</v>
      </c>
      <c r="AK39" s="111">
        <f>+IF(AK$2=$E39,$D39,IF(AK$2&gt;AK$257,0,IF($C39=AK$2,"PAGAR"&amp;" "&amp;TEXT($B39," #.##0,00"),0)))</f>
        <v>0</v>
      </c>
      <c r="AL39" s="111">
        <f>+IF(AL$2=$E39,$D39,IF(AL$2&gt;AL$257,0,IF($C39=AL$2,"PAGAR"&amp;" "&amp;TEXT($B39," #.##0,00"),0)))</f>
        <v>0</v>
      </c>
      <c r="AM39" s="111">
        <f>+IF(AM$2=$E39,$D39,IF(AM$2&gt;AM$257,0,IF($C39=AM$2,"PAGAR"&amp;" "&amp;TEXT($B39," #.##0,00"),0)))</f>
        <v>0</v>
      </c>
      <c r="AN39" s="111">
        <f t="shared" ca="1" si="7"/>
        <v>0</v>
      </c>
      <c r="AO39" s="287">
        <f t="shared" si="8"/>
        <v>0</v>
      </c>
      <c r="AQ39" s="250" t="str" cm="1">
        <f t="array" ref="AQ39:AQ40">_xlfn._xlws.FILTER($A43:$A190,$C43:$C190=1,"livre")</f>
        <v>Condomínio Sta Rita</v>
      </c>
      <c r="AR39" s="251" cm="1">
        <f t="array" ref="AR39:AR40">_xlfn._xlws.FILTER($B43:$B190,$C43:$C190=1,"livre")</f>
        <v>300</v>
      </c>
      <c r="AS39" s="245" t="str" cm="1">
        <f t="array" ref="AS39:AS40">_xlfn._xlws.FILTER($A43:$A190,$C43:$C190=1,"livre")</f>
        <v>Condomínio Sta Rita</v>
      </c>
      <c r="AT39" s="246" cm="1">
        <f t="array" ref="AT39:AT40">_xlfn._xlws.FILTER($B43:$B190,$C43:$C190=1,"livre")</f>
        <v>300</v>
      </c>
      <c r="AU39" s="245"/>
      <c r="AV39" s="252"/>
      <c r="AW39" s="245" t="str">
        <v>Seguro Previdência VGBL 21</v>
      </c>
      <c r="AX39" s="246">
        <v>675.52</v>
      </c>
      <c r="AY39" s="245" t="str">
        <v>Vivo Lago</v>
      </c>
      <c r="AZ39" s="247">
        <v>236.13</v>
      </c>
      <c r="BA39" s="248"/>
      <c r="BB39" s="247"/>
      <c r="BC39" s="248" t="str">
        <v>Yelum Seguro Civic - Cartão</v>
      </c>
      <c r="BD39" s="249">
        <v>286.77999999999997</v>
      </c>
    </row>
    <row r="40" spans="1:56" x14ac:dyDescent="0.25">
      <c r="A40" s="212" t="s">
        <v>202</v>
      </c>
      <c r="B40" s="90">
        <v>2520</v>
      </c>
      <c r="C40" s="91">
        <v>28</v>
      </c>
      <c r="D40" s="97"/>
      <c r="E40" s="166"/>
      <c r="F40" s="84">
        <f ca="1">+IF(TODAY()&lt;DATEVALUE(1&amp;D$1&amp;E$1),0,IF(C40&gt;0,IF(C40-SUM(I$255:AM$255)&lt;0,B40-SUM(I40:AM40,0),0),0))+IF(C40=-1,B40-SUM(J40:AM40))</f>
        <v>0</v>
      </c>
      <c r="G40" s="1">
        <f t="shared" si="6"/>
        <v>0</v>
      </c>
      <c r="H40" s="14">
        <f>IF(H$2=$E40,$D40,IF(H$2&gt;H$257,0,IF($C40=H$2,"PAGAR"&amp;" "&amp;TEXT($B40," #.##0,00"),IF($C40=-1,"PAGAR"&amp;" "&amp;TEXT($B40," #.##0,00"),0))))</f>
        <v>0</v>
      </c>
      <c r="I40" s="111">
        <f>IF(I$2=$E40,$D40,IF(I$2&gt;I$257,0,IF($C40=I$2,"PAGAR"&amp;" "&amp;TEXT($B40," #.##0,00"),IF($C40=-1,"PAGAR"&amp;" "&amp;TEXT($B40," #.##0,00"),0))))</f>
        <v>0</v>
      </c>
      <c r="J40" s="111">
        <f>+IF(J$2=$E40,$D40,IF(J$2&gt;J$257,0,IF($C40=J$2,"PAGAR"&amp;" "&amp;TEXT($B40," #.##0,00"),0)))</f>
        <v>0</v>
      </c>
      <c r="K40" s="111">
        <f>+IF(K$2=$E40,$D40,IF(K$2&gt;K$257,0,IF($C40=K$2,"PAGAR"&amp;" "&amp;TEXT($B40," #.##0,00"),0)))</f>
        <v>0</v>
      </c>
      <c r="L40" s="111">
        <f>+IF(L$2=$E40,$D40,IF(L$2&gt;L$257,0,IF($C40=L$2,"PAGAR"&amp;" "&amp;TEXT($B40," #.##0,00"),0)))</f>
        <v>0</v>
      </c>
      <c r="M40" s="111">
        <f>+IF(M$2=$E40,$D40,IF(M$2&gt;M$257,0,IF($C40=M$2,"PAGAR"&amp;" "&amp;TEXT($B40," #.##0,00"),0)))</f>
        <v>0</v>
      </c>
      <c r="N40" s="111">
        <f>+IF(N$2=$E40,$D40,IF(N$2&gt;N$257,0,IF($C40=N$2,"PAGAR"&amp;" "&amp;TEXT($B40," #.##0,00"),0)))</f>
        <v>0</v>
      </c>
      <c r="O40" s="111">
        <f>+IF(O$2=$E40,$D40,IF(O$2&gt;O$257,0,IF($C40=O$2,"PAGAR"&amp;" "&amp;TEXT($B40," #.##0,00"),0)))</f>
        <v>0</v>
      </c>
      <c r="P40" s="111">
        <f>+IF(P$2=$E40,$D40,IF(P$2&gt;P$257,0,IF($C40=P$2,"PAGAR"&amp;" "&amp;TEXT($B40," #.##0,00"),0)))</f>
        <v>0</v>
      </c>
      <c r="Q40" s="111">
        <f>+IF(Q$2=$E40,$D40,IF(Q$2&gt;Q$257,0,IF($C40=Q$2,"PAGAR"&amp;" "&amp;TEXT($B40," #.##0,00"),0)))</f>
        <v>0</v>
      </c>
      <c r="R40" s="111">
        <f>+IF(R$2=$E40,$D40,IF(R$2&gt;R$257,0,IF($C40=R$2,"PAGAR"&amp;" "&amp;TEXT($B40," #.##0,00"),0)))</f>
        <v>0</v>
      </c>
      <c r="S40" s="111">
        <f>+IF(S$2=$E40,$D40,IF(S$2&gt;S$257,0,IF($C40=S$2,"PAGAR"&amp;" "&amp;TEXT($B40," #.##0,00"),0)))</f>
        <v>0</v>
      </c>
      <c r="T40" s="111">
        <f>+IF(T$2=$E40,$D40,IF(T$2&gt;T$257,0,IF($C40=T$2,"PAGAR"&amp;" "&amp;TEXT($B40," #.##0,00"),0)))</f>
        <v>0</v>
      </c>
      <c r="U40" s="111">
        <f>+IF(U$2=$E40,$D40,IF(U$2&gt;U$257,0,IF($C40=U$2,"PAGAR"&amp;" "&amp;TEXT($B40," #.##0,00"),0)))</f>
        <v>0</v>
      </c>
      <c r="V40" s="111">
        <f>+IF(V$2=$E40,$D40,IF(V$2&gt;V$257,0,IF($C40=V$2,"PAGAR"&amp;" "&amp;TEXT($B40," #.##0,00"),0)))</f>
        <v>0</v>
      </c>
      <c r="W40" s="111">
        <f>+IF(W$2=$E40,$D40,IF(W$2&gt;W$257,0,IF($C40=W$2,"PAGAR"&amp;" "&amp;TEXT($B40," #.##0,00"),0)))</f>
        <v>0</v>
      </c>
      <c r="X40" s="111">
        <f>+IF(X$2=$E40,$D40,IF(X$2&gt;X$257,0,IF($C40=X$2,"PAGAR"&amp;" "&amp;TEXT($B40," #.##0,00"),0)))</f>
        <v>0</v>
      </c>
      <c r="Y40" s="111">
        <f>+IF(Y$2=$E40,$D40,IF(Y$2&gt;Y$257,0,IF($C40=Y$2,"PAGAR"&amp;" "&amp;TEXT($B40," #.##0,00"),0)))</f>
        <v>0</v>
      </c>
      <c r="Z40" s="111">
        <f>+IF(Z$2=$E40,$D40,IF(Z$2&gt;Z$257,0,IF($C40=Z$2,"PAGAR"&amp;" "&amp;TEXT($B40," #.##0,00"),0)))</f>
        <v>0</v>
      </c>
      <c r="AA40" s="111">
        <f>+IF(AA$2=$E40,$D40,IF(AA$2&gt;AA$257,0,IF($C40=AA$2,"PAGAR"&amp;" "&amp;TEXT($B40," #.##0,00"),0)))</f>
        <v>0</v>
      </c>
      <c r="AB40" s="111">
        <f>+IF(AB$2=$E40,$D40,IF(AB$2&gt;AB$257,0,IF($C40=AB$2,"PAGAR"&amp;" "&amp;TEXT($B40," #.##0,00"),0)))</f>
        <v>0</v>
      </c>
      <c r="AC40" s="111">
        <f>+IF(AC$2=$E40,$D40,IF(AC$2&gt;AC$257,0,IF($C40=AC$2,"PAGAR"&amp;" "&amp;TEXT($B40," #.##0,00"),0)))</f>
        <v>0</v>
      </c>
      <c r="AD40" s="111">
        <f>+IF(AD$2=$E40,$D40,IF(AD$2&gt;AD$257,0,IF($C40=AD$2,"PAGAR"&amp;" "&amp;TEXT($B40," #.##0,00"),0)))</f>
        <v>0</v>
      </c>
      <c r="AE40" s="111">
        <f>+IF(AE$2=$E40,$D40,IF(AE$2&gt;AE$257,0,IF($C40=AE$2,"PAGAR"&amp;" "&amp;TEXT($B40," #.##0,00"),0)))</f>
        <v>0</v>
      </c>
      <c r="AF40" s="111">
        <f>+IF(AF$2=$E40,$D40,IF(AF$2&gt;AF$257,0,IF($C40=AF$2,"PAGAR"&amp;" "&amp;TEXT($B40," #.##0,00"),0)))</f>
        <v>0</v>
      </c>
      <c r="AG40" s="111">
        <f>+IF(AG$2=$E40,$D40,IF(AG$2&gt;AG$257,0,IF($C40=AG$2,"PAGAR"&amp;" "&amp;TEXT($B40," #.##0,00"),0)))</f>
        <v>0</v>
      </c>
      <c r="AH40" s="111">
        <f>+IF(AH$2=$E40,$D40,IF(AH$2&gt;AH$257,0,IF($C40=AH$2,"PAGAR"&amp;" "&amp;TEXT($B40," #.##0,00"),0)))</f>
        <v>0</v>
      </c>
      <c r="AI40" s="111">
        <f>+IF(AI$2=$E40,$D40,IF(AI$2&gt;AI$257,0,IF($C40=AI$2,"PAGAR"&amp;" "&amp;TEXT($B40," #.##0,00"),0)))</f>
        <v>0</v>
      </c>
      <c r="AJ40" s="111" t="str">
        <f>+IF(AJ$2=$E40,$D40,IF(AJ$2&gt;AJ$257,0,IF($C40=AJ$2,"PAGAR"&amp;" "&amp;TEXT($B40," #.##0,00"),0)))</f>
        <v>PAGAR  2.520,00</v>
      </c>
      <c r="AK40" s="111">
        <f>+IF(AK$2=$E40,$D40,IF(AK$2&gt;AK$257,0,IF($C40=AK$2,"PAGAR"&amp;" "&amp;TEXT($B40," #.##0,00"),0)))</f>
        <v>0</v>
      </c>
      <c r="AL40" s="111">
        <f>+IF(AL$2=$E40,$D40,IF(AL$2&gt;AL$257,0,IF($C40=AL$2,"PAGAR"&amp;" "&amp;TEXT($B40," #.##0,00"),0)))</f>
        <v>0</v>
      </c>
      <c r="AM40" s="111">
        <f>+IF(AM$2=$E40,$D40,IF(AM$2&gt;AM$257,0,IF($C40=AM$2,"PAGAR"&amp;" "&amp;TEXT($B40," #.##0,00"),0)))</f>
        <v>0</v>
      </c>
      <c r="AN40" s="111">
        <f t="shared" ca="1" si="7"/>
        <v>0</v>
      </c>
      <c r="AO40" s="287">
        <f t="shared" si="8"/>
        <v>0</v>
      </c>
      <c r="AQ40" s="232" t="str">
        <v>Letízio mensal</v>
      </c>
      <c r="AR40" s="230">
        <v>1750</v>
      </c>
      <c r="AS40" s="234" t="str">
        <v>Letízio mensal</v>
      </c>
      <c r="AT40" s="225">
        <v>1750</v>
      </c>
      <c r="AU40" s="234"/>
      <c r="AV40" s="225"/>
      <c r="AW40" s="234" t="str">
        <v>Contabilidade</v>
      </c>
      <c r="AX40" s="225">
        <v>2211</v>
      </c>
      <c r="AY40" s="234" t="str">
        <v>Itaú - débito auto (6/37x) 5% 50k</v>
      </c>
      <c r="AZ40" s="226">
        <v>3099</v>
      </c>
      <c r="BA40" s="236"/>
      <c r="BB40" s="226"/>
      <c r="BC40" s="236" t="str">
        <v>Apple.com - Cartão</v>
      </c>
      <c r="BD40" s="227">
        <v>29.9</v>
      </c>
    </row>
    <row r="41" spans="1:56" x14ac:dyDescent="0.25">
      <c r="A41" s="212" t="s">
        <v>203</v>
      </c>
      <c r="B41" s="90">
        <v>1305</v>
      </c>
      <c r="C41" s="91">
        <v>28</v>
      </c>
      <c r="D41" s="97"/>
      <c r="E41" s="166"/>
      <c r="F41" s="84">
        <f ca="1">+IF(TODAY()&lt;DATEVALUE(1&amp;D$1&amp;E$1),0,IF(C41&gt;0,IF(C41-SUM(I$255:AM$255)&lt;0,B41-SUM(I41:AM41,0),0),0))+IF(C41=-1,B41-SUM(J41:AM41))</f>
        <v>0</v>
      </c>
      <c r="G41" s="1">
        <f t="shared" si="6"/>
        <v>0</v>
      </c>
      <c r="H41" s="14">
        <f>IF(H$2=$E41,$D41,IF(H$2&gt;H$257,0,IF($C41=H$2,"PAGAR"&amp;" "&amp;TEXT($B41," #.##0,00"),IF($C41=-1,"PAGAR"&amp;" "&amp;TEXT($B41," #.##0,00"),0))))</f>
        <v>0</v>
      </c>
      <c r="I41" s="111">
        <f>IF(I$2=$E41,$D41,IF(I$2&gt;I$257,0,IF($C41=I$2,"PAGAR"&amp;" "&amp;TEXT($B41," #.##0,00"),IF($C41=-1,"PAGAR"&amp;" "&amp;TEXT($B41," #.##0,00"),0))))</f>
        <v>0</v>
      </c>
      <c r="J41" s="111">
        <f>+IF(J$2=$E41,$D41,IF(J$2&gt;J$257,0,IF($C41=J$2,"PAGAR"&amp;" "&amp;TEXT($B41," #.##0,00"),0)))</f>
        <v>0</v>
      </c>
      <c r="K41" s="111">
        <f>+IF(K$2=$E41,$D41,IF(K$2&gt;K$257,0,IF($C41=K$2,"PAGAR"&amp;" "&amp;TEXT($B41," #.##0,00"),0)))</f>
        <v>0</v>
      </c>
      <c r="L41" s="111">
        <f>+IF(L$2=$E41,$D41,IF(L$2&gt;L$257,0,IF($C41=L$2,"PAGAR"&amp;" "&amp;TEXT($B41," #.##0,00"),0)))</f>
        <v>0</v>
      </c>
      <c r="M41" s="111">
        <f>+IF(M$2=$E41,$D41,IF(M$2&gt;M$257,0,IF($C41=M$2,"PAGAR"&amp;" "&amp;TEXT($B41," #.##0,00"),0)))</f>
        <v>0</v>
      </c>
      <c r="N41" s="111">
        <f>+IF(N$2=$E41,$D41,IF(N$2&gt;N$257,0,IF($C41=N$2,"PAGAR"&amp;" "&amp;TEXT($B41," #.##0,00"),0)))</f>
        <v>0</v>
      </c>
      <c r="O41" s="111">
        <f>+IF(O$2=$E41,$D41,IF(O$2&gt;O$257,0,IF($C41=O$2,"PAGAR"&amp;" "&amp;TEXT($B41," #.##0,00"),0)))</f>
        <v>0</v>
      </c>
      <c r="P41" s="111">
        <f>+IF(P$2=$E41,$D41,IF(P$2&gt;P$257,0,IF($C41=P$2,"PAGAR"&amp;" "&amp;TEXT($B41," #.##0,00"),0)))</f>
        <v>0</v>
      </c>
      <c r="Q41" s="111">
        <f>+IF(Q$2=$E41,$D41,IF(Q$2&gt;Q$257,0,IF($C41=Q$2,"PAGAR"&amp;" "&amp;TEXT($B41," #.##0,00"),0)))</f>
        <v>0</v>
      </c>
      <c r="R41" s="111">
        <f>+IF(R$2=$E41,$D41,IF(R$2&gt;R$257,0,IF($C41=R$2,"PAGAR"&amp;" "&amp;TEXT($B41," #.##0,00"),0)))</f>
        <v>0</v>
      </c>
      <c r="S41" s="111">
        <f>+IF(S$2=$E41,$D41,IF(S$2&gt;S$257,0,IF($C41=S$2,"PAGAR"&amp;" "&amp;TEXT($B41," #.##0,00"),0)))</f>
        <v>0</v>
      </c>
      <c r="T41" s="111">
        <f>+IF(T$2=$E41,$D41,IF(T$2&gt;T$257,0,IF($C41=T$2,"PAGAR"&amp;" "&amp;TEXT($B41," #.##0,00"),0)))</f>
        <v>0</v>
      </c>
      <c r="U41" s="111">
        <f>+IF(U$2=$E41,$D41,IF(U$2&gt;U$257,0,IF($C41=U$2,"PAGAR"&amp;" "&amp;TEXT($B41," #.##0,00"),0)))</f>
        <v>0</v>
      </c>
      <c r="V41" s="111">
        <f>+IF(V$2=$E41,$D41,IF(V$2&gt;V$257,0,IF($C41=V$2,"PAGAR"&amp;" "&amp;TEXT($B41," #.##0,00"),0)))</f>
        <v>0</v>
      </c>
      <c r="W41" s="111">
        <f>+IF(W$2=$E41,$D41,IF(W$2&gt;W$257,0,IF($C41=W$2,"PAGAR"&amp;" "&amp;TEXT($B41," #.##0,00"),0)))</f>
        <v>0</v>
      </c>
      <c r="X41" s="111">
        <f>+IF(X$2=$E41,$D41,IF(X$2&gt;X$257,0,IF($C41=X$2,"PAGAR"&amp;" "&amp;TEXT($B41," #.##0,00"),0)))</f>
        <v>0</v>
      </c>
      <c r="Y41" s="111">
        <f>+IF(Y$2=$E41,$D41,IF(Y$2&gt;Y$257,0,IF($C41=Y$2,"PAGAR"&amp;" "&amp;TEXT($B41," #.##0,00"),0)))</f>
        <v>0</v>
      </c>
      <c r="Z41" s="111">
        <f>+IF(Z$2=$E41,$D41,IF(Z$2&gt;Z$257,0,IF($C41=Z$2,"PAGAR"&amp;" "&amp;TEXT($B41," #.##0,00"),0)))</f>
        <v>0</v>
      </c>
      <c r="AA41" s="111">
        <f>+IF(AA$2=$E41,$D41,IF(AA$2&gt;AA$257,0,IF($C41=AA$2,"PAGAR"&amp;" "&amp;TEXT($B41," #.##0,00"),0)))</f>
        <v>0</v>
      </c>
      <c r="AB41" s="111">
        <f>+IF(AB$2=$E41,$D41,IF(AB$2&gt;AB$257,0,IF($C41=AB$2,"PAGAR"&amp;" "&amp;TEXT($B41," #.##0,00"),0)))</f>
        <v>0</v>
      </c>
      <c r="AC41" s="111">
        <f>+IF(AC$2=$E41,$D41,IF(AC$2&gt;AC$257,0,IF($C41=AC$2,"PAGAR"&amp;" "&amp;TEXT($B41," #.##0,00"),0)))</f>
        <v>0</v>
      </c>
      <c r="AD41" s="111">
        <f>+IF(AD$2=$E41,$D41,IF(AD$2&gt;AD$257,0,IF($C41=AD$2,"PAGAR"&amp;" "&amp;TEXT($B41," #.##0,00"),0)))</f>
        <v>0</v>
      </c>
      <c r="AE41" s="111">
        <f>+IF(AE$2=$E41,$D41,IF(AE$2&gt;AE$257,0,IF($C41=AE$2,"PAGAR"&amp;" "&amp;TEXT($B41," #.##0,00"),0)))</f>
        <v>0</v>
      </c>
      <c r="AF41" s="111">
        <f>+IF(AF$2=$E41,$D41,IF(AF$2&gt;AF$257,0,IF($C41=AF$2,"PAGAR"&amp;" "&amp;TEXT($B41," #.##0,00"),0)))</f>
        <v>0</v>
      </c>
      <c r="AG41" s="111">
        <f>+IF(AG$2=$E41,$D41,IF(AG$2&gt;AG$257,0,IF($C41=AG$2,"PAGAR"&amp;" "&amp;TEXT($B41," #.##0,00"),0)))</f>
        <v>0</v>
      </c>
      <c r="AH41" s="111">
        <f>+IF(AH$2=$E41,$D41,IF(AH$2&gt;AH$257,0,IF($C41=AH$2,"PAGAR"&amp;" "&amp;TEXT($B41," #.##0,00"),0)))</f>
        <v>0</v>
      </c>
      <c r="AI41" s="111">
        <f>+IF(AI$2=$E41,$D41,IF(AI$2&gt;AI$257,0,IF($C41=AI$2,"PAGAR"&amp;" "&amp;TEXT($B41," #.##0,00"),0)))</f>
        <v>0</v>
      </c>
      <c r="AJ41" s="111" t="str">
        <f>+IF(AJ$2=$E41,$D41,IF(AJ$2&gt;AJ$257,0,IF($C41=AJ$2,"PAGAR"&amp;" "&amp;TEXT($B41," #.##0,00"),0)))</f>
        <v>PAGAR  1.305,00</v>
      </c>
      <c r="AK41" s="111">
        <f>+IF(AK$2=$E41,$D41,IF(AK$2&gt;AK$257,0,IF($C41=AK$2,"PAGAR"&amp;" "&amp;TEXT($B41," #.##0,00"),0)))</f>
        <v>0</v>
      </c>
      <c r="AL41" s="111">
        <f>+IF(AL$2=$E41,$D41,IF(AL$2&gt;AL$257,0,IF($C41=AL$2,"PAGAR"&amp;" "&amp;TEXT($B41," #.##0,00"),0)))</f>
        <v>0</v>
      </c>
      <c r="AM41" s="111">
        <f>+IF(AM$2=$E41,$D41,IF(AM$2&gt;AM$257,0,IF($C41=AM$2,"PAGAR"&amp;" "&amp;TEXT($B41," #.##0,00"),0)))</f>
        <v>0</v>
      </c>
      <c r="AN41" s="111">
        <f t="shared" ca="1" si="7"/>
        <v>0</v>
      </c>
      <c r="AO41" s="287">
        <f t="shared" si="8"/>
        <v>0</v>
      </c>
      <c r="AQ41" s="250"/>
      <c r="AR41" s="251"/>
      <c r="AS41" s="245"/>
      <c r="AT41" s="246"/>
      <c r="AU41" s="245"/>
      <c r="AV41" s="252"/>
      <c r="AW41" s="245" t="str">
        <v>Telhanorte  Aluguel</v>
      </c>
      <c r="AX41" s="246">
        <v>1889.57</v>
      </c>
      <c r="AY41" s="245" t="str">
        <v>Frees + R$400 Josiane</v>
      </c>
      <c r="AZ41" s="247">
        <v>6900</v>
      </c>
      <c r="BA41" s="248"/>
      <c r="BB41" s="247"/>
      <c r="BC41" s="248" t="str">
        <v>VA normal</v>
      </c>
      <c r="BD41" s="249">
        <v>2520</v>
      </c>
    </row>
    <row r="42" spans="1:56" x14ac:dyDescent="0.25">
      <c r="A42" s="212" t="s">
        <v>204</v>
      </c>
      <c r="B42" s="90">
        <v>1270</v>
      </c>
      <c r="C42" s="91">
        <v>28</v>
      </c>
      <c r="D42" s="97"/>
      <c r="E42" s="166"/>
      <c r="F42" s="84">
        <f ca="1">+IF(TODAY()&lt;DATEVALUE(1&amp;D$1&amp;E$1),0,IF(C42&gt;0,IF(C42-SUM(I$255:AM$255)&lt;0,B42-SUM(I42:AM42,0),0),0))+IF(C42=-1,B42-SUM(J42:AM42))</f>
        <v>0</v>
      </c>
      <c r="G42" s="1">
        <f t="shared" si="6"/>
        <v>0</v>
      </c>
      <c r="H42" s="14">
        <f>IF(H$2=$E42,$D42,IF(H$2&gt;H$257,0,IF($C42=H$2,"PAGAR"&amp;" "&amp;TEXT($B42," #.##0,00"),IF($C42=-1,"PAGAR"&amp;" "&amp;TEXT($B42," #.##0,00"),0))))</f>
        <v>0</v>
      </c>
      <c r="I42" s="111">
        <f>IF(I$2=$E42,$D42,IF(I$2&gt;I$257,0,IF($C42=I$2,"PAGAR"&amp;" "&amp;TEXT($B42," #.##0,00"),IF($C42=-1,"PAGAR"&amp;" "&amp;TEXT($B42," #.##0,00"),0))))</f>
        <v>0</v>
      </c>
      <c r="J42" s="111">
        <f>+IF(J$2=$E42,$D42,IF(J$2&gt;J$257,0,IF($C42=J$2,"PAGAR"&amp;" "&amp;TEXT($B42," #.##0,00"),0)))</f>
        <v>0</v>
      </c>
      <c r="K42" s="111">
        <f>+IF(K$2=$E42,$D42,IF(K$2&gt;K$257,0,IF($C42=K$2,"PAGAR"&amp;" "&amp;TEXT($B42," #.##0,00"),0)))</f>
        <v>0</v>
      </c>
      <c r="L42" s="111">
        <f>+IF(L$2=$E42,$D42,IF(L$2&gt;L$257,0,IF($C42=L$2,"PAGAR"&amp;" "&amp;TEXT($B42," #.##0,00"),0)))</f>
        <v>0</v>
      </c>
      <c r="M42" s="111">
        <f>+IF(M$2=$E42,$D42,IF(M$2&gt;M$257,0,IF($C42=M$2,"PAGAR"&amp;" "&amp;TEXT($B42," #.##0,00"),0)))</f>
        <v>0</v>
      </c>
      <c r="N42" s="111">
        <f>+IF(N$2=$E42,$D42,IF(N$2&gt;N$257,0,IF($C42=N$2,"PAGAR"&amp;" "&amp;TEXT($B42," #.##0,00"),0)))</f>
        <v>0</v>
      </c>
      <c r="O42" s="111">
        <f>+IF(O$2=$E42,$D42,IF(O$2&gt;O$257,0,IF($C42=O$2,"PAGAR"&amp;" "&amp;TEXT($B42," #.##0,00"),0)))</f>
        <v>0</v>
      </c>
      <c r="P42" s="111">
        <f>+IF(P$2=$E42,$D42,IF(P$2&gt;P$257,0,IF($C42=P$2,"PAGAR"&amp;" "&amp;TEXT($B42," #.##0,00"),0)))</f>
        <v>0</v>
      </c>
      <c r="Q42" s="111">
        <f>+IF(Q$2=$E42,$D42,IF(Q$2&gt;Q$257,0,IF($C42=Q$2,"PAGAR"&amp;" "&amp;TEXT($B42," #.##0,00"),0)))</f>
        <v>0</v>
      </c>
      <c r="R42" s="111">
        <f>+IF(R$2=$E42,$D42,IF(R$2&gt;R$257,0,IF($C42=R$2,"PAGAR"&amp;" "&amp;TEXT($B42," #.##0,00"),0)))</f>
        <v>0</v>
      </c>
      <c r="S42" s="111">
        <f>+IF(S$2=$E42,$D42,IF(S$2&gt;S$257,0,IF($C42=S$2,"PAGAR"&amp;" "&amp;TEXT($B42," #.##0,00"),0)))</f>
        <v>0</v>
      </c>
      <c r="T42" s="111">
        <f>+IF(T$2=$E42,$D42,IF(T$2&gt;T$257,0,IF($C42=T$2,"PAGAR"&amp;" "&amp;TEXT($B42," #.##0,00"),0)))</f>
        <v>0</v>
      </c>
      <c r="U42" s="111">
        <f>+IF(U$2=$E42,$D42,IF(U$2&gt;U$257,0,IF($C42=U$2,"PAGAR"&amp;" "&amp;TEXT($B42," #.##0,00"),0)))</f>
        <v>0</v>
      </c>
      <c r="V42" s="111">
        <f>+IF(V$2=$E42,$D42,IF(V$2&gt;V$257,0,IF($C42=V$2,"PAGAR"&amp;" "&amp;TEXT($B42," #.##0,00"),0)))</f>
        <v>0</v>
      </c>
      <c r="W42" s="111">
        <f>+IF(W$2=$E42,$D42,IF(W$2&gt;W$257,0,IF($C42=W$2,"PAGAR"&amp;" "&amp;TEXT($B42," #.##0,00"),0)))</f>
        <v>0</v>
      </c>
      <c r="X42" s="111">
        <f>+IF(X$2=$E42,$D42,IF(X$2&gt;X$257,0,IF($C42=X$2,"PAGAR"&amp;" "&amp;TEXT($B42," #.##0,00"),0)))</f>
        <v>0</v>
      </c>
      <c r="Y42" s="111">
        <f>+IF(Y$2=$E42,$D42,IF(Y$2&gt;Y$257,0,IF($C42=Y$2,"PAGAR"&amp;" "&amp;TEXT($B42," #.##0,00"),0)))</f>
        <v>0</v>
      </c>
      <c r="Z42" s="111">
        <f>+IF(Z$2=$E42,$D42,IF(Z$2&gt;Z$257,0,IF($C42=Z$2,"PAGAR"&amp;" "&amp;TEXT($B42," #.##0,00"),0)))</f>
        <v>0</v>
      </c>
      <c r="AA42" s="111">
        <f>+IF(AA$2=$E42,$D42,IF(AA$2&gt;AA$257,0,IF($C42=AA$2,"PAGAR"&amp;" "&amp;TEXT($B42," #.##0,00"),0)))</f>
        <v>0</v>
      </c>
      <c r="AB42" s="111">
        <f>+IF(AB$2=$E42,$D42,IF(AB$2&gt;AB$257,0,IF($C42=AB$2,"PAGAR"&amp;" "&amp;TEXT($B42," #.##0,00"),0)))</f>
        <v>0</v>
      </c>
      <c r="AC42" s="111">
        <f>+IF(AC$2=$E42,$D42,IF(AC$2&gt;AC$257,0,IF($C42=AC$2,"PAGAR"&amp;" "&amp;TEXT($B42," #.##0,00"),0)))</f>
        <v>0</v>
      </c>
      <c r="AD42" s="111">
        <f>+IF(AD$2=$E42,$D42,IF(AD$2&gt;AD$257,0,IF($C42=AD$2,"PAGAR"&amp;" "&amp;TEXT($B42," #.##0,00"),0)))</f>
        <v>0</v>
      </c>
      <c r="AE42" s="111">
        <f>+IF(AE$2=$E42,$D42,IF(AE$2&gt;AE$257,0,IF($C42=AE$2,"PAGAR"&amp;" "&amp;TEXT($B42," #.##0,00"),0)))</f>
        <v>0</v>
      </c>
      <c r="AF42" s="111">
        <f>+IF(AF$2=$E42,$D42,IF(AF$2&gt;AF$257,0,IF($C42=AF$2,"PAGAR"&amp;" "&amp;TEXT($B42," #.##0,00"),0)))</f>
        <v>0</v>
      </c>
      <c r="AG42" s="111">
        <f>+IF(AG$2=$E42,$D42,IF(AG$2&gt;AG$257,0,IF($C42=AG$2,"PAGAR"&amp;" "&amp;TEXT($B42," #.##0,00"),0)))</f>
        <v>0</v>
      </c>
      <c r="AH42" s="111">
        <f>+IF(AH$2=$E42,$D42,IF(AH$2&gt;AH$257,0,IF($C42=AH$2,"PAGAR"&amp;" "&amp;TEXT($B42," #.##0,00"),0)))</f>
        <v>0</v>
      </c>
      <c r="AI42" s="111">
        <f>+IF(AI$2=$E42,$D42,IF(AI$2&gt;AI$257,0,IF($C42=AI$2,"PAGAR"&amp;" "&amp;TEXT($B42," #.##0,00"),0)))</f>
        <v>0</v>
      </c>
      <c r="AJ42" s="111" t="str">
        <f>+IF(AJ$2=$E42,$D42,IF(AJ$2&gt;AJ$257,0,IF($C42=AJ$2,"PAGAR"&amp;" "&amp;TEXT($B42," #.##0,00"),0)))</f>
        <v>PAGAR  1.270,00</v>
      </c>
      <c r="AK42" s="111">
        <f>+IF(AK$2=$E42,$D42,IF(AK$2&gt;AK$257,0,IF($C42=AK$2,"PAGAR"&amp;" "&amp;TEXT($B42," #.##0,00"),0)))</f>
        <v>0</v>
      </c>
      <c r="AL42" s="111">
        <f>+IF(AL$2=$E42,$D42,IF(AL$2&gt;AL$257,0,IF($C42=AL$2,"PAGAR"&amp;" "&amp;TEXT($B42," #.##0,00"),0)))</f>
        <v>0</v>
      </c>
      <c r="AM42" s="111">
        <f>+IF(AM$2=$E42,$D42,IF(AM$2&gt;AM$257,0,IF($C42=AM$2,"PAGAR"&amp;" "&amp;TEXT($B42," #.##0,00"),0)))</f>
        <v>0</v>
      </c>
      <c r="AN42" s="111">
        <f t="shared" ca="1" si="7"/>
        <v>0</v>
      </c>
      <c r="AO42" s="287">
        <f t="shared" si="8"/>
        <v>0</v>
      </c>
      <c r="AQ42" s="232"/>
      <c r="AR42" s="230"/>
      <c r="AS42" s="234"/>
      <c r="AT42" s="225"/>
      <c r="AU42" s="234"/>
      <c r="AV42" s="225"/>
      <c r="AW42" s="234"/>
      <c r="AX42" s="225"/>
      <c r="AY42" s="234"/>
      <c r="AZ42" s="226"/>
      <c r="BA42" s="236"/>
      <c r="BB42" s="226"/>
      <c r="BC42" s="236" t="str">
        <v>CPFL Plátamo</v>
      </c>
      <c r="BD42" s="227">
        <v>1305</v>
      </c>
    </row>
    <row r="43" spans="1:56" x14ac:dyDescent="0.25">
      <c r="A43" s="212" t="s">
        <v>205</v>
      </c>
      <c r="B43" s="90">
        <v>2211</v>
      </c>
      <c r="C43" s="91">
        <v>25</v>
      </c>
      <c r="D43" s="97"/>
      <c r="E43" s="166"/>
      <c r="F43" s="84">
        <f ca="1">+IF(TODAY()&lt;DATEVALUE(1&amp;D$1&amp;E$1),0,IF(C43&gt;0,IF(C43-SUM(I$255:AM$255)&lt;0,B43-SUM(I43:AM43,0),0),0))+IF(C43=-1,B43-SUM(J43:AM43))</f>
        <v>0</v>
      </c>
      <c r="G43" s="1">
        <f t="shared" si="6"/>
        <v>0</v>
      </c>
      <c r="H43" s="14">
        <f>IF(H$2=$E43,$D43,IF(H$2&gt;H$257,0,IF($C43=H$2,"PAGAR"&amp;" "&amp;TEXT($B43," #.##0,00"),IF($C43=-1,"PAGAR"&amp;" "&amp;TEXT($B43," #.##0,00"),0))))</f>
        <v>0</v>
      </c>
      <c r="I43" s="111">
        <f>IF(I$2=$E43,$D43,IF(I$2&gt;I$257,0,IF($C43=I$2,"PAGAR"&amp;" "&amp;TEXT($B43," #.##0,00"),IF($C43=-1,"PAGAR"&amp;" "&amp;TEXT($B43," #.##0,00"),0))))</f>
        <v>0</v>
      </c>
      <c r="J43" s="111">
        <f>+IF(J$2=$E43,$D43,IF(J$2&gt;J$257,0,IF($C43=J$2,"PAGAR"&amp;" "&amp;TEXT($B43," #.##0,00"),0)))</f>
        <v>0</v>
      </c>
      <c r="K43" s="111">
        <f>+IF(K$2=$E43,$D43,IF(K$2&gt;K$257,0,IF($C43=K$2,"PAGAR"&amp;" "&amp;TEXT($B43," #.##0,00"),0)))</f>
        <v>0</v>
      </c>
      <c r="L43" s="111">
        <f>+IF(L$2=$E43,$D43,IF(L$2&gt;L$257,0,IF($C43=L$2,"PAGAR"&amp;" "&amp;TEXT($B43," #.##0,00"),0)))</f>
        <v>0</v>
      </c>
      <c r="M43" s="111">
        <f>+IF(M$2=$E43,$D43,IF(M$2&gt;M$257,0,IF($C43=M$2,"PAGAR"&amp;" "&amp;TEXT($B43," #.##0,00"),0)))</f>
        <v>0</v>
      </c>
      <c r="N43" s="111">
        <f>+IF(N$2=$E43,$D43,IF(N$2&gt;N$257,0,IF($C43=N$2,"PAGAR"&amp;" "&amp;TEXT($B43," #.##0,00"),0)))</f>
        <v>0</v>
      </c>
      <c r="O43" s="111">
        <f>+IF(O$2=$E43,$D43,IF(O$2&gt;O$257,0,IF($C43=O$2,"PAGAR"&amp;" "&amp;TEXT($B43," #.##0,00"),0)))</f>
        <v>0</v>
      </c>
      <c r="P43" s="111">
        <f>+IF(P$2=$E43,$D43,IF(P$2&gt;P$257,0,IF($C43=P$2,"PAGAR"&amp;" "&amp;TEXT($B43," #.##0,00"),0)))</f>
        <v>0</v>
      </c>
      <c r="Q43" s="111">
        <f>+IF(Q$2=$E43,$D43,IF(Q$2&gt;Q$257,0,IF($C43=Q$2,"PAGAR"&amp;" "&amp;TEXT($B43," #.##0,00"),0)))</f>
        <v>0</v>
      </c>
      <c r="R43" s="111">
        <f>+IF(R$2=$E43,$D43,IF(R$2&gt;R$257,0,IF($C43=R$2,"PAGAR"&amp;" "&amp;TEXT($B43," #.##0,00"),0)))</f>
        <v>0</v>
      </c>
      <c r="S43" s="111">
        <f>+IF(S$2=$E43,$D43,IF(S$2&gt;S$257,0,IF($C43=S$2,"PAGAR"&amp;" "&amp;TEXT($B43," #.##0,00"),0)))</f>
        <v>0</v>
      </c>
      <c r="T43" s="111">
        <f>+IF(T$2=$E43,$D43,IF(T$2&gt;T$257,0,IF($C43=T$2,"PAGAR"&amp;" "&amp;TEXT($B43," #.##0,00"),0)))</f>
        <v>0</v>
      </c>
      <c r="U43" s="111">
        <f>+IF(U$2=$E43,$D43,IF(U$2&gt;U$257,0,IF($C43=U$2,"PAGAR"&amp;" "&amp;TEXT($B43," #.##0,00"),0)))</f>
        <v>0</v>
      </c>
      <c r="V43" s="111">
        <f>+IF(V$2=$E43,$D43,IF(V$2&gt;V$257,0,IF($C43=V$2,"PAGAR"&amp;" "&amp;TEXT($B43," #.##0,00"),0)))</f>
        <v>0</v>
      </c>
      <c r="W43" s="111">
        <f>+IF(W$2=$E43,$D43,IF(W$2&gt;W$257,0,IF($C43=W$2,"PAGAR"&amp;" "&amp;TEXT($B43," #.##0,00"),0)))</f>
        <v>0</v>
      </c>
      <c r="X43" s="111">
        <f>+IF(X$2=$E43,$D43,IF(X$2&gt;X$257,0,IF($C43=X$2,"PAGAR"&amp;" "&amp;TEXT($B43," #.##0,00"),0)))</f>
        <v>0</v>
      </c>
      <c r="Y43" s="111">
        <f>+IF(Y$2=$E43,$D43,IF(Y$2&gt;Y$257,0,IF($C43=Y$2,"PAGAR"&amp;" "&amp;TEXT($B43," #.##0,00"),0)))</f>
        <v>0</v>
      </c>
      <c r="Z43" s="111">
        <f>+IF(Z$2=$E43,$D43,IF(Z$2&gt;Z$257,0,IF($C43=Z$2,"PAGAR"&amp;" "&amp;TEXT($B43," #.##0,00"),0)))</f>
        <v>0</v>
      </c>
      <c r="AA43" s="111">
        <f>+IF(AA$2=$E43,$D43,IF(AA$2&gt;AA$257,0,IF($C43=AA$2,"PAGAR"&amp;" "&amp;TEXT($B43," #.##0,00"),0)))</f>
        <v>0</v>
      </c>
      <c r="AB43" s="111">
        <f>+IF(AB$2=$E43,$D43,IF(AB$2&gt;AB$257,0,IF($C43=AB$2,"PAGAR"&amp;" "&amp;TEXT($B43," #.##0,00"),0)))</f>
        <v>0</v>
      </c>
      <c r="AC43" s="111">
        <f>+IF(AC$2=$E43,$D43,IF(AC$2&gt;AC$257,0,IF($C43=AC$2,"PAGAR"&amp;" "&amp;TEXT($B43," #.##0,00"),0)))</f>
        <v>0</v>
      </c>
      <c r="AD43" s="111">
        <f>+IF(AD$2=$E43,$D43,IF(AD$2&gt;AD$257,0,IF($C43=AD$2,"PAGAR"&amp;" "&amp;TEXT($B43," #.##0,00"),0)))</f>
        <v>0</v>
      </c>
      <c r="AE43" s="111">
        <f>+IF(AE$2=$E43,$D43,IF(AE$2&gt;AE$257,0,IF($C43=AE$2,"PAGAR"&amp;" "&amp;TEXT($B43," #.##0,00"),0)))</f>
        <v>0</v>
      </c>
      <c r="AF43" s="111">
        <f>+IF(AF$2=$E43,$D43,IF(AF$2&gt;AF$257,0,IF($C43=AF$2,"PAGAR"&amp;" "&amp;TEXT($B43," #.##0,00"),0)))</f>
        <v>0</v>
      </c>
      <c r="AG43" s="111" t="str">
        <f>+IF(AG$2=$E43,$D43,IF(AG$2&gt;AG$257,0,IF($C43=AG$2,"PAGAR"&amp;" "&amp;TEXT($B43," #.##0,00"),0)))</f>
        <v>PAGAR  2.211,00</v>
      </c>
      <c r="AH43" s="111">
        <f>+IF(AH$2=$E43,$D43,IF(AH$2&gt;AH$257,0,IF($C43=AH$2,"PAGAR"&amp;" "&amp;TEXT($B43," #.##0,00"),0)))</f>
        <v>0</v>
      </c>
      <c r="AI43" s="111">
        <f>+IF(AI$2=$E43,$D43,IF(AI$2&gt;AI$257,0,IF($C43=AI$2,"PAGAR"&amp;" "&amp;TEXT($B43," #.##0,00"),0)))</f>
        <v>0</v>
      </c>
      <c r="AJ43" s="111">
        <f>+IF(AJ$2=$E43,$D43,IF(AJ$2&gt;AJ$257,0,IF($C43=AJ$2,"PAGAR"&amp;" "&amp;TEXT($B43," #.##0,00"),0)))</f>
        <v>0</v>
      </c>
      <c r="AK43" s="111">
        <f>+IF(AK$2=$E43,$D43,IF(AK$2&gt;AK$257,0,IF($C43=AK$2,"PAGAR"&amp;" "&amp;TEXT($B43," #.##0,00"),0)))</f>
        <v>0</v>
      </c>
      <c r="AL43" s="111">
        <f>+IF(AL$2=$E43,$D43,IF(AL$2&gt;AL$257,0,IF($C43=AL$2,"PAGAR"&amp;" "&amp;TEXT($B43," #.##0,00"),0)))</f>
        <v>0</v>
      </c>
      <c r="AM43" s="111">
        <f>+IF(AM$2=$E43,$D43,IF(AM$2&gt;AM$257,0,IF($C43=AM$2,"PAGAR"&amp;" "&amp;TEXT($B43," #.##0,00"),0)))</f>
        <v>0</v>
      </c>
      <c r="AN43" s="111">
        <f t="shared" ca="1" si="7"/>
        <v>0</v>
      </c>
      <c r="AO43" s="287">
        <f t="shared" si="8"/>
        <v>0</v>
      </c>
      <c r="AQ43" s="250"/>
      <c r="AR43" s="251"/>
      <c r="AS43" s="245"/>
      <c r="AT43" s="246"/>
      <c r="AU43" s="245"/>
      <c r="AV43" s="252"/>
      <c r="AW43" s="245"/>
      <c r="AX43" s="246"/>
      <c r="AY43" s="245"/>
      <c r="AZ43" s="247"/>
      <c r="BA43" s="248"/>
      <c r="BB43" s="247"/>
      <c r="BC43" s="248" t="str">
        <v>Result</v>
      </c>
      <c r="BD43" s="249">
        <v>1270</v>
      </c>
    </row>
    <row r="44" spans="1:56" ht="15.75" x14ac:dyDescent="0.25">
      <c r="A44" s="112" t="s">
        <v>76</v>
      </c>
      <c r="B44" s="6">
        <f>+SUM(B28:B43)</f>
        <v>22095.42</v>
      </c>
      <c r="C44" s="81"/>
      <c r="D44" s="6">
        <f>+SUM(D28:D43)</f>
        <v>1010</v>
      </c>
      <c r="E44" s="81"/>
      <c r="F44" s="195">
        <f ca="1">+SUMIF(F28:F43,"&gt;0")</f>
        <v>7335.42</v>
      </c>
      <c r="G44" s="3">
        <f t="shared" si="6"/>
        <v>4.5710830570317294E-2</v>
      </c>
      <c r="H44" s="5"/>
      <c r="I44" s="2">
        <f>+PLAN2!H45</f>
        <v>0</v>
      </c>
      <c r="J44" s="2">
        <f>+PLAN2!I45</f>
        <v>1000</v>
      </c>
      <c r="K44" s="2">
        <f>+PLAN2!J45</f>
        <v>2310</v>
      </c>
      <c r="L44" s="2">
        <f>+PLAN2!K45</f>
        <v>0</v>
      </c>
      <c r="M44" s="2">
        <f>+PLAN2!L45</f>
        <v>0</v>
      </c>
      <c r="N44" s="2">
        <f>+PLAN2!M45</f>
        <v>1080</v>
      </c>
      <c r="O44" s="2">
        <f>+PLAN2!N45</f>
        <v>0</v>
      </c>
      <c r="P44" s="2">
        <f>+PLAN2!O45</f>
        <v>0</v>
      </c>
      <c r="Q44" s="2">
        <f>+PLAN2!P45</f>
        <v>0</v>
      </c>
      <c r="R44" s="2">
        <f>+PLAN2!Q45</f>
        <v>0</v>
      </c>
      <c r="S44" s="2">
        <f>+PLAN2!R45</f>
        <v>2945.42</v>
      </c>
      <c r="T44" s="2">
        <f>+PLAN2!S45</f>
        <v>0</v>
      </c>
      <c r="U44" s="2">
        <f>+PLAN2!T45</f>
        <v>0</v>
      </c>
      <c r="V44" s="2">
        <f>+PLAN2!U45</f>
        <v>0</v>
      </c>
      <c r="W44" s="2">
        <f>+PLAN2!V45</f>
        <v>2009</v>
      </c>
      <c r="X44" s="2">
        <f>+PLAN2!W45</f>
        <v>0</v>
      </c>
      <c r="Y44" s="2">
        <f>+PLAN2!X45</f>
        <v>1010</v>
      </c>
      <c r="Z44" s="2">
        <f>+PLAN2!Y45</f>
        <v>0</v>
      </c>
      <c r="AA44" s="2">
        <f>+PLAN2!Z45</f>
        <v>0</v>
      </c>
      <c r="AB44" s="2">
        <f>+PLAN2!AA45</f>
        <v>720</v>
      </c>
      <c r="AC44" s="2">
        <f>+PLAN2!AB45</f>
        <v>0</v>
      </c>
      <c r="AD44" s="2">
        <f>+PLAN2!AC45</f>
        <v>0</v>
      </c>
      <c r="AE44" s="2">
        <f>+PLAN2!AD45</f>
        <v>0</v>
      </c>
      <c r="AF44" s="2">
        <f>+PLAN2!AE45</f>
        <v>0</v>
      </c>
      <c r="AG44" s="2">
        <f>+PLAN2!AF45</f>
        <v>2211</v>
      </c>
      <c r="AH44" s="2">
        <f>+PLAN2!AG45</f>
        <v>2775</v>
      </c>
      <c r="AI44" s="2">
        <f>+PLAN2!AH45</f>
        <v>0</v>
      </c>
      <c r="AJ44" s="2">
        <f>+PLAN2!AI45</f>
        <v>5095</v>
      </c>
      <c r="AK44" s="2">
        <f>+PLAN2!AJ45</f>
        <v>0</v>
      </c>
      <c r="AL44" s="2">
        <f>+PLAN2!AK45</f>
        <v>940</v>
      </c>
      <c r="AM44" s="2">
        <f>+PLAN2!AL45</f>
        <v>0</v>
      </c>
      <c r="AN44" s="2">
        <f ca="1">SUM(AN28:AN43)</f>
        <v>0</v>
      </c>
      <c r="AO44" s="288"/>
      <c r="AQ44" s="232"/>
      <c r="AR44" s="230"/>
      <c r="AS44" s="234"/>
      <c r="AT44" s="225"/>
      <c r="AU44" s="234"/>
      <c r="AV44" s="225"/>
      <c r="AW44" s="234"/>
      <c r="AX44" s="225"/>
      <c r="AY44" s="234"/>
      <c r="AZ44" s="226"/>
      <c r="BA44" s="236"/>
      <c r="BB44" s="226"/>
      <c r="BC44" s="236"/>
      <c r="BD44" s="227"/>
    </row>
    <row r="45" spans="1:56" x14ac:dyDescent="0.25">
      <c r="A45" s="211" t="s">
        <v>193</v>
      </c>
      <c r="B45" s="109"/>
      <c r="C45" s="109"/>
      <c r="D45" s="109"/>
      <c r="E45" s="109"/>
      <c r="F45" s="109"/>
      <c r="G45" s="109"/>
      <c r="H45" s="11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10"/>
      <c r="AN45" s="13"/>
      <c r="AO45" s="285"/>
      <c r="AQ45" s="253"/>
      <c r="AR45" s="254"/>
      <c r="AS45" s="242"/>
      <c r="AT45" s="243"/>
      <c r="AU45" s="242"/>
      <c r="AV45" s="164"/>
      <c r="AW45" s="242"/>
      <c r="AX45" s="243"/>
      <c r="AY45" s="242"/>
      <c r="AZ45" s="243"/>
      <c r="BA45" s="242"/>
      <c r="BB45" s="243"/>
      <c r="BC45" s="242"/>
      <c r="BD45" s="244"/>
    </row>
    <row r="46" spans="1:56" x14ac:dyDescent="0.25">
      <c r="A46" s="212" t="s">
        <v>207</v>
      </c>
      <c r="B46" s="90">
        <v>500</v>
      </c>
      <c r="C46" s="91">
        <v>15</v>
      </c>
      <c r="D46" s="97"/>
      <c r="E46" s="166"/>
      <c r="F46" s="84">
        <f ca="1">+IF(TODAY()&lt;DATEVALUE(1&amp;D$1&amp;E$1),0,IF(C46&gt;0,IF(C46-SUM(I$255:AM$255)&lt;0,B46-SUM(I46:AM46,0),0),0))+IF(C46=-1,B46-SUM(J46:AM46))</f>
        <v>0</v>
      </c>
      <c r="G46" s="1">
        <f t="shared" ref="G46:G67" si="10">+IF(B46=0,"-",D46/B46)</f>
        <v>0</v>
      </c>
      <c r="H46" s="14"/>
      <c r="I46" s="111">
        <f>IF(I$2=$E46,$D46,IF(I$2&gt;I$257,0,IF($C46=I$2,"PAGAR"&amp;" "&amp;TEXT($B46," #.##0,00"),IF($C46=-1,"PAGAR"&amp;" "&amp;TEXT($B46," #.##0,00"),0))))</f>
        <v>0</v>
      </c>
      <c r="J46" s="111">
        <f>+IF(J$2=$E46,$D46,IF(J$2&gt;J$257,0,IF($C46=J$2,"PAGAR"&amp;" "&amp;TEXT($B46," #.##0,00"),0)))</f>
        <v>0</v>
      </c>
      <c r="K46" s="111">
        <f>+IF(K$2=$E46,$D46,IF(K$2&gt;K$257,0,IF($C46=K$2,"PAGAR"&amp;" "&amp;TEXT($B46," #.##0,00"),0)))</f>
        <v>0</v>
      </c>
      <c r="L46" s="111">
        <f>+IF(L$2=$E46,$D46,IF(L$2&gt;L$257,0,IF($C46=L$2,"PAGAR"&amp;" "&amp;TEXT($B46," #.##0,00"),0)))</f>
        <v>0</v>
      </c>
      <c r="M46" s="111">
        <f>+IF(M$2=$E46,$D46,IF(M$2&gt;M$257,0,IF($C46=M$2,"PAGAR"&amp;" "&amp;TEXT($B46," #.##0,00"),0)))</f>
        <v>0</v>
      </c>
      <c r="N46" s="111">
        <f>+IF(N$2=$E46,$D46,IF(N$2&gt;N$257,0,IF($C46=N$2,"PAGAR"&amp;" "&amp;TEXT($B46," #.##0,00"),0)))</f>
        <v>0</v>
      </c>
      <c r="O46" s="111">
        <f>+IF(O$2=$E46,$D46,IF(O$2&gt;O$257,0,IF($C46=O$2,"PAGAR"&amp;" "&amp;TEXT($B46," #.##0,00"),0)))</f>
        <v>0</v>
      </c>
      <c r="P46" s="111">
        <f>+IF(P$2=$E46,$D46,IF(P$2&gt;P$257,0,IF($C46=P$2,"PAGAR"&amp;" "&amp;TEXT($B46," #.##0,00"),0)))</f>
        <v>0</v>
      </c>
      <c r="Q46" s="111">
        <f>+IF(Q$2=$E46,$D46,IF(Q$2&gt;Q$257,0,IF($C46=Q$2,"PAGAR"&amp;" "&amp;TEXT($B46," #.##0,00"),0)))</f>
        <v>0</v>
      </c>
      <c r="R46" s="111">
        <f>+IF(R$2=$E46,$D46,IF(R$2&gt;R$257,0,IF($C46=R$2,"PAGAR"&amp;" "&amp;TEXT($B46," #.##0,00"),0)))</f>
        <v>0</v>
      </c>
      <c r="S46" s="111">
        <f>+IF(S$2=$E46,$D46,IF(S$2&gt;S$257,0,IF($C46=S$2,"PAGAR"&amp;" "&amp;TEXT($B46," #.##0,00"),0)))</f>
        <v>0</v>
      </c>
      <c r="T46" s="111">
        <f>+IF(T$2=$E46,$D46,IF(T$2&gt;T$257,0,IF($C46=T$2,"PAGAR"&amp;" "&amp;TEXT($B46," #.##0,00"),0)))</f>
        <v>0</v>
      </c>
      <c r="U46" s="111">
        <f>+IF(U$2=$E46,$D46,IF(U$2&gt;U$257,0,IF($C46=U$2,"PAGAR"&amp;" "&amp;TEXT($B46," #.##0,00"),0)))</f>
        <v>0</v>
      </c>
      <c r="V46" s="111">
        <f>+IF(V$2=$E46,$D46,IF(V$2&gt;V$257,0,IF($C46=V$2,"PAGAR"&amp;" "&amp;TEXT($B46," #.##0,00"),0)))</f>
        <v>0</v>
      </c>
      <c r="W46" s="111" t="str">
        <f>+IF(W$2=$E46,$D46,IF(W$2&gt;W$257,0,IF($C46=W$2,"PAGAR"&amp;" "&amp;TEXT($B46," #.##0,00"),0)))</f>
        <v>PAGAR  500,00</v>
      </c>
      <c r="X46" s="111">
        <f>+IF(X$2=$E46,$D46,IF(X$2&gt;X$257,0,IF($C46=X$2,"PAGAR"&amp;" "&amp;TEXT($B46," #.##0,00"),0)))</f>
        <v>0</v>
      </c>
      <c r="Y46" s="111">
        <f>+IF(Y$2=$E46,$D46,IF(Y$2&gt;Y$257,0,IF($C46=Y$2,"PAGAR"&amp;" "&amp;TEXT($B46," #.##0,00"),0)))</f>
        <v>0</v>
      </c>
      <c r="Z46" s="111">
        <f>+IF(Z$2=$E46,$D46,IF(Z$2&gt;Z$257,0,IF($C46=Z$2,"PAGAR"&amp;" "&amp;TEXT($B46," #.##0,00"),0)))</f>
        <v>0</v>
      </c>
      <c r="AA46" s="111">
        <f>+IF(AA$2=$E46,$D46,IF(AA$2&gt;AA$257,0,IF($C46=AA$2,"PAGAR"&amp;" "&amp;TEXT($B46," #.##0,00"),0)))</f>
        <v>0</v>
      </c>
      <c r="AB46" s="111">
        <f>+IF(AB$2=$E46,$D46,IF(AB$2&gt;AB$257,0,IF($C46=AB$2,"PAGAR"&amp;" "&amp;TEXT($B46," #.##0,00"),0)))</f>
        <v>0</v>
      </c>
      <c r="AC46" s="111">
        <f>+IF(AC$2=$E46,$D46,IF(AC$2&gt;AC$257,0,IF($C46=AC$2,"PAGAR"&amp;" "&amp;TEXT($B46," #.##0,00"),0)))</f>
        <v>0</v>
      </c>
      <c r="AD46" s="111">
        <f>+IF(AD$2=$E46,$D46,IF(AD$2&gt;AD$257,0,IF($C46=AD$2,"PAGAR"&amp;" "&amp;TEXT($B46," #.##0,00"),0)))</f>
        <v>0</v>
      </c>
      <c r="AE46" s="111">
        <f>+IF(AE$2=$E46,$D46,IF(AE$2&gt;AE$257,0,IF($C46=AE$2,"PAGAR"&amp;" "&amp;TEXT($B46," #.##0,00"),0)))</f>
        <v>0</v>
      </c>
      <c r="AF46" s="111">
        <f>+IF(AF$2=$E46,$D46,IF(AF$2&gt;AF$257,0,IF($C46=AF$2,"PAGAR"&amp;" "&amp;TEXT($B46," #.##0,00"),0)))</f>
        <v>0</v>
      </c>
      <c r="AG46" s="111">
        <f>+IF(AG$2=$E46,$D46,IF(AG$2&gt;AG$257,0,IF($C46=AG$2,"PAGAR"&amp;" "&amp;TEXT($B46," #.##0,00"),0)))</f>
        <v>0</v>
      </c>
      <c r="AH46" s="111">
        <f>+IF(AH$2=$E46,$D46,IF(AH$2&gt;AH$257,0,IF($C46=AH$2,"PAGAR"&amp;" "&amp;TEXT($B46," #.##0,00"),0)))</f>
        <v>0</v>
      </c>
      <c r="AI46" s="111">
        <f>+IF(AI$2=$E46,$D46,IF(AI$2&gt;AI$257,0,IF($C46=AI$2,"PAGAR"&amp;" "&amp;TEXT($B46," #.##0,00"),0)))</f>
        <v>0</v>
      </c>
      <c r="AJ46" s="111">
        <f>+IF(AJ$2=$E46,$D46,IF(AJ$2&gt;AJ$257,0,IF($C46=AJ$2,"PAGAR"&amp;" "&amp;TEXT($B46," #.##0,00"),0)))</f>
        <v>0</v>
      </c>
      <c r="AK46" s="111">
        <f>+IF(AK$2=$E46,$D46,IF(AK$2&gt;AK$257,0,IF($C46=AK$2,"PAGAR"&amp;" "&amp;TEXT($B46," #.##0,00"),0)))</f>
        <v>0</v>
      </c>
      <c r="AL46" s="111">
        <f>+IF(AL$2=$E46,$D46,IF(AL$2&gt;AL$257,0,IF($C46=AL$2,"PAGAR"&amp;" "&amp;TEXT($B46," #.##0,00"),0)))</f>
        <v>0</v>
      </c>
      <c r="AM46" s="111">
        <f>+IF(AM$2=$E46,$D46,IF(AM$2&gt;AM$257,0,IF($C46=AM$2,"PAGAR"&amp;" "&amp;TEXT($B46," #.##0,00"),0)))</f>
        <v>0</v>
      </c>
      <c r="AN46" s="111">
        <f t="shared" ref="AN46:AN66" ca="1" si="11">+IF(F46&lt;0,-F46,0)</f>
        <v>0</v>
      </c>
      <c r="AO46" s="287">
        <f t="shared" ref="AO46:AO66" si="12">+IF(AND(C46=0,B46&gt;0),B46,0)</f>
        <v>0</v>
      </c>
      <c r="AQ46" s="237"/>
      <c r="AR46" s="238"/>
      <c r="AS46" s="239"/>
      <c r="AT46" s="240"/>
      <c r="AU46" s="239"/>
      <c r="AV46" s="240"/>
      <c r="AW46" s="239"/>
      <c r="AX46" s="240"/>
      <c r="AY46" s="239"/>
      <c r="AZ46" s="240"/>
      <c r="BA46" s="239"/>
      <c r="BB46" s="240"/>
      <c r="BC46" s="239"/>
      <c r="BD46" s="241"/>
    </row>
    <row r="47" spans="1:56" ht="15.75" thickBot="1" x14ac:dyDescent="0.3">
      <c r="A47" s="212" t="s">
        <v>208</v>
      </c>
      <c r="B47" s="90">
        <v>500</v>
      </c>
      <c r="C47" s="91">
        <v>2</v>
      </c>
      <c r="D47" s="97"/>
      <c r="E47" s="166"/>
      <c r="F47" s="84">
        <f ca="1">+IF(TODAY()&lt;DATEVALUE(1&amp;D$1&amp;E$1),0,IF(C47&gt;0,IF(C47-SUM(I$255:AM$255)&lt;0,B47-SUM(I47:AM47,0),0),0))+IF(C47=-1,B47-SUM(J47:AM47))</f>
        <v>500</v>
      </c>
      <c r="G47" s="1">
        <f t="shared" si="10"/>
        <v>0</v>
      </c>
      <c r="H47" s="14"/>
      <c r="I47" s="111">
        <f>IF(I$2=$E47,$D47,IF(I$2&gt;I$257,0,IF($C47=I$2,"PAGAR"&amp;" "&amp;TEXT($B47," #.##0,00"),IF($C47=-1,"PAGAR"&amp;" "&amp;TEXT($B47," #.##0,00"),0))))</f>
        <v>0</v>
      </c>
      <c r="J47" s="111" t="str">
        <f>+IF(J$2=$E47,$D47,IF(J$2&gt;J$257,0,IF($C47=J$2,"PAGAR"&amp;" "&amp;TEXT($B47," #.##0,00"),0)))</f>
        <v>PAGAR  500,00</v>
      </c>
      <c r="K47" s="111">
        <f>+IF(K$2=$E47,$D47,IF(K$2&gt;K$257,0,IF($C47=K$2,"PAGAR"&amp;" "&amp;TEXT($B47," #.##0,00"),0)))</f>
        <v>0</v>
      </c>
      <c r="L47" s="111">
        <f>+IF(L$2=$E47,$D47,IF(L$2&gt;L$257,0,IF($C47=L$2,"PAGAR"&amp;" "&amp;TEXT($B47," #.##0,00"),0)))</f>
        <v>0</v>
      </c>
      <c r="M47" s="111">
        <f>+IF(M$2=$E47,$D47,IF(M$2&gt;M$257,0,IF($C47=M$2,"PAGAR"&amp;" "&amp;TEXT($B47," #.##0,00"),0)))</f>
        <v>0</v>
      </c>
      <c r="N47" s="111">
        <f>+IF(N$2=$E47,$D47,IF(N$2&gt;N$257,0,IF($C47=N$2,"PAGAR"&amp;" "&amp;TEXT($B47," #.##0,00"),0)))</f>
        <v>0</v>
      </c>
      <c r="O47" s="111">
        <f>+IF(O$2=$E47,$D47,IF(O$2&gt;O$257,0,IF($C47=O$2,"PAGAR"&amp;" "&amp;TEXT($B47," #.##0,00"),0)))</f>
        <v>0</v>
      </c>
      <c r="P47" s="111">
        <f>+IF(P$2=$E47,$D47,IF(P$2&gt;P$257,0,IF($C47=P$2,"PAGAR"&amp;" "&amp;TEXT($B47," #.##0,00"),0)))</f>
        <v>0</v>
      </c>
      <c r="Q47" s="111">
        <f>+IF(Q$2=$E47,$D47,IF(Q$2&gt;Q$257,0,IF($C47=Q$2,"PAGAR"&amp;" "&amp;TEXT($B47," #.##0,00"),0)))</f>
        <v>0</v>
      </c>
      <c r="R47" s="111">
        <f>+IF(R$2=$E47,$D47,IF(R$2&gt;R$257,0,IF($C47=R$2,"PAGAR"&amp;" "&amp;TEXT($B47," #.##0,00"),0)))</f>
        <v>0</v>
      </c>
      <c r="S47" s="111">
        <f>+IF(S$2=$E47,$D47,IF(S$2&gt;S$257,0,IF($C47=S$2,"PAGAR"&amp;" "&amp;TEXT($B47," #.##0,00"),0)))</f>
        <v>0</v>
      </c>
      <c r="T47" s="111">
        <f>+IF(T$2=$E47,$D47,IF(T$2&gt;T$257,0,IF($C47=T$2,"PAGAR"&amp;" "&amp;TEXT($B47," #.##0,00"),0)))</f>
        <v>0</v>
      </c>
      <c r="U47" s="111">
        <f>+IF(U$2=$E47,$D47,IF(U$2&gt;U$257,0,IF($C47=U$2,"PAGAR"&amp;" "&amp;TEXT($B47," #.##0,00"),0)))</f>
        <v>0</v>
      </c>
      <c r="V47" s="111">
        <f>+IF(V$2=$E47,$D47,IF(V$2&gt;V$257,0,IF($C47=V$2,"PAGAR"&amp;" "&amp;TEXT($B47," #.##0,00"),0)))</f>
        <v>0</v>
      </c>
      <c r="W47" s="111">
        <f>+IF(W$2=$E47,$D47,IF(W$2&gt;W$257,0,IF($C47=W$2,"PAGAR"&amp;" "&amp;TEXT($B47," #.##0,00"),0)))</f>
        <v>0</v>
      </c>
      <c r="X47" s="111">
        <f>+IF(X$2=$E47,$D47,IF(X$2&gt;X$257,0,IF($C47=X$2,"PAGAR"&amp;" "&amp;TEXT($B47," #.##0,00"),0)))</f>
        <v>0</v>
      </c>
      <c r="Y47" s="111">
        <f>+IF(Y$2=$E47,$D47,IF(Y$2&gt;Y$257,0,IF($C47=Y$2,"PAGAR"&amp;" "&amp;TEXT($B47," #.##0,00"),0)))</f>
        <v>0</v>
      </c>
      <c r="Z47" s="111">
        <f>+IF(Z$2=$E47,$D47,IF(Z$2&gt;Z$257,0,IF($C47=Z$2,"PAGAR"&amp;" "&amp;TEXT($B47," #.##0,00"),0)))</f>
        <v>0</v>
      </c>
      <c r="AA47" s="111">
        <f>+IF(AA$2=$E47,$D47,IF(AA$2&gt;AA$257,0,IF($C47=AA$2,"PAGAR"&amp;" "&amp;TEXT($B47," #.##0,00"),0)))</f>
        <v>0</v>
      </c>
      <c r="AB47" s="111">
        <f>+IF(AB$2=$E47,$D47,IF(AB$2&gt;AB$257,0,IF($C47=AB$2,"PAGAR"&amp;" "&amp;TEXT($B47," #.##0,00"),0)))</f>
        <v>0</v>
      </c>
      <c r="AC47" s="111">
        <f>+IF(AC$2=$E47,$D47,IF(AC$2&gt;AC$257,0,IF($C47=AC$2,"PAGAR"&amp;" "&amp;TEXT($B47," #.##0,00"),0)))</f>
        <v>0</v>
      </c>
      <c r="AD47" s="111">
        <f>+IF(AD$2=$E47,$D47,IF(AD$2&gt;AD$257,0,IF($C47=AD$2,"PAGAR"&amp;" "&amp;TEXT($B47," #.##0,00"),0)))</f>
        <v>0</v>
      </c>
      <c r="AE47" s="111">
        <f>+IF(AE$2=$E47,$D47,IF(AE$2&gt;AE$257,0,IF($C47=AE$2,"PAGAR"&amp;" "&amp;TEXT($B47," #.##0,00"),0)))</f>
        <v>0</v>
      </c>
      <c r="AF47" s="111">
        <f>+IF(AF$2=$E47,$D47,IF(AF$2&gt;AF$257,0,IF($C47=AF$2,"PAGAR"&amp;" "&amp;TEXT($B47," #.##0,00"),0)))</f>
        <v>0</v>
      </c>
      <c r="AG47" s="111">
        <f>+IF(AG$2=$E47,$D47,IF(AG$2&gt;AG$257,0,IF($C47=AG$2,"PAGAR"&amp;" "&amp;TEXT($B47," #.##0,00"),0)))</f>
        <v>0</v>
      </c>
      <c r="AH47" s="111">
        <f>+IF(AH$2=$E47,$D47,IF(AH$2&gt;AH$257,0,IF($C47=AH$2,"PAGAR"&amp;" "&amp;TEXT($B47," #.##0,00"),0)))</f>
        <v>0</v>
      </c>
      <c r="AI47" s="111">
        <f>+IF(AI$2=$E47,$D47,IF(AI$2&gt;AI$257,0,IF($C47=AI$2,"PAGAR"&amp;" "&amp;TEXT($B47," #.##0,00"),0)))</f>
        <v>0</v>
      </c>
      <c r="AJ47" s="111">
        <f>+IF(AJ$2=$E47,$D47,IF(AJ$2&gt;AJ$257,0,IF($C47=AJ$2,"PAGAR"&amp;" "&amp;TEXT($B47," #.##0,00"),0)))</f>
        <v>0</v>
      </c>
      <c r="AK47" s="111">
        <f>+IF(AK$2=$E47,$D47,IF(AK$2&gt;AK$257,0,IF($C47=AK$2,"PAGAR"&amp;" "&amp;TEXT($B47," #.##0,00"),0)))</f>
        <v>0</v>
      </c>
      <c r="AL47" s="111">
        <f>+IF(AL$2=$E47,$D47,IF(AL$2&gt;AL$257,0,IF($C47=AL$2,"PAGAR"&amp;" "&amp;TEXT($B47," #.##0,00"),0)))</f>
        <v>0</v>
      </c>
      <c r="AM47" s="111">
        <f>+IF(AM$2=$E47,$D47,IF(AM$2&gt;AM$257,0,IF($C47=AM$2,"PAGAR"&amp;" "&amp;TEXT($B47," #.##0,00"),0)))</f>
        <v>0</v>
      </c>
      <c r="AN47" s="111">
        <f t="shared" ca="1" si="11"/>
        <v>0</v>
      </c>
      <c r="AO47" s="287">
        <f t="shared" si="12"/>
        <v>0</v>
      </c>
      <c r="AQ47" s="233"/>
      <c r="AR47" s="231"/>
      <c r="AS47" s="235"/>
      <c r="AT47" s="228"/>
      <c r="AU47" s="235"/>
      <c r="AV47" s="228"/>
      <c r="AW47" s="235"/>
      <c r="AX47" s="228"/>
      <c r="AY47" s="235"/>
      <c r="AZ47" s="228"/>
      <c r="BA47" s="235"/>
      <c r="BB47" s="228"/>
      <c r="BC47" s="235"/>
      <c r="BD47" s="229"/>
    </row>
    <row r="48" spans="1:56" ht="18.75" x14ac:dyDescent="0.3">
      <c r="A48" s="212"/>
      <c r="B48" s="90"/>
      <c r="C48" s="91"/>
      <c r="D48" s="97"/>
      <c r="E48" s="166"/>
      <c r="F48" s="84">
        <f ca="1">+IF(TODAY()&lt;DATEVALUE(1&amp;D$1&amp;E$1),0,IF(C48&gt;0,IF(C48-SUM(I$255:AM$255)&lt;0,B48-SUM(I48:AM48,0),0),0))+IF(C48=-1,B48-SUM(J48:AM48))</f>
        <v>0</v>
      </c>
      <c r="G48" s="1" t="str">
        <f t="shared" si="10"/>
        <v>-</v>
      </c>
      <c r="H48" s="14"/>
      <c r="I48" s="111">
        <f>IF(I$2=$E48,$D48,IF(I$2&gt;I$257,0,IF($C48=I$2,"PAGAR"&amp;" "&amp;TEXT($B48," #.##0,00"),IF($C48=-1,"PAGAR"&amp;" "&amp;TEXT($B48," #.##0,00"),0))))</f>
        <v>0</v>
      </c>
      <c r="J48" s="111">
        <f>+IF(J$2=$E48,$D48,IF(J$2&gt;J$257,0,IF($C48=J$2,"PAGAR"&amp;" "&amp;TEXT($B48," #.##0,00"),0)))</f>
        <v>0</v>
      </c>
      <c r="K48" s="111">
        <f>+IF(K$2=$E48,$D48,IF(K$2&gt;K$257,0,IF($C48=K$2,"PAGAR"&amp;" "&amp;TEXT($B48," #.##0,00"),0)))</f>
        <v>0</v>
      </c>
      <c r="L48" s="111">
        <f>+IF(L$2=$E48,$D48,IF(L$2&gt;L$257,0,IF($C48=L$2,"PAGAR"&amp;" "&amp;TEXT($B48," #.##0,00"),0)))</f>
        <v>0</v>
      </c>
      <c r="M48" s="111">
        <f>+IF(M$2=$E48,$D48,IF(M$2&gt;M$257,0,IF($C48=M$2,"PAGAR"&amp;" "&amp;TEXT($B48," #.##0,00"),0)))</f>
        <v>0</v>
      </c>
      <c r="N48" s="111">
        <f>+IF(N$2=$E48,$D48,IF(N$2&gt;N$257,0,IF($C48=N$2,"PAGAR"&amp;" "&amp;TEXT($B48," #.##0,00"),0)))</f>
        <v>0</v>
      </c>
      <c r="O48" s="111">
        <f>+IF(O$2=$E48,$D48,IF(O$2&gt;O$257,0,IF($C48=O$2,"PAGAR"&amp;" "&amp;TEXT($B48," #.##0,00"),0)))</f>
        <v>0</v>
      </c>
      <c r="P48" s="111">
        <f>+IF(P$2=$E48,$D48,IF(P$2&gt;P$257,0,IF($C48=P$2,"PAGAR"&amp;" "&amp;TEXT($B48," #.##0,00"),0)))</f>
        <v>0</v>
      </c>
      <c r="Q48" s="111">
        <f>+IF(Q$2=$E48,$D48,IF(Q$2&gt;Q$257,0,IF($C48=Q$2,"PAGAR"&amp;" "&amp;TEXT($B48," #.##0,00"),0)))</f>
        <v>0</v>
      </c>
      <c r="R48" s="111">
        <f>+IF(R$2=$E48,$D48,IF(R$2&gt;R$257,0,IF($C48=R$2,"PAGAR"&amp;" "&amp;TEXT($B48," #.##0,00"),0)))</f>
        <v>0</v>
      </c>
      <c r="S48" s="111">
        <f>+IF(S$2=$E48,$D48,IF(S$2&gt;S$257,0,IF($C48=S$2,"PAGAR"&amp;" "&amp;TEXT($B48," #.##0,00"),0)))</f>
        <v>0</v>
      </c>
      <c r="T48" s="111">
        <f>+IF(T$2=$E48,$D48,IF(T$2&gt;T$257,0,IF($C48=T$2,"PAGAR"&amp;" "&amp;TEXT($B48," #.##0,00"),0)))</f>
        <v>0</v>
      </c>
      <c r="U48" s="111">
        <f>+IF(U$2=$E48,$D48,IF(U$2&gt;U$257,0,IF($C48=U$2,"PAGAR"&amp;" "&amp;TEXT($B48," #.##0,00"),0)))</f>
        <v>0</v>
      </c>
      <c r="V48" s="111">
        <f>+IF(V$2=$E48,$D48,IF(V$2&gt;V$257,0,IF($C48=V$2,"PAGAR"&amp;" "&amp;TEXT($B48," #.##0,00"),0)))</f>
        <v>0</v>
      </c>
      <c r="W48" s="111">
        <f>+IF(W$2=$E48,$D48,IF(W$2&gt;W$257,0,IF($C48=W$2,"PAGAR"&amp;" "&amp;TEXT($B48," #.##0,00"),0)))</f>
        <v>0</v>
      </c>
      <c r="X48" s="111">
        <f>+IF(X$2=$E48,$D48,IF(X$2&gt;X$257,0,IF($C48=X$2,"PAGAR"&amp;" "&amp;TEXT($B48," #.##0,00"),0)))</f>
        <v>0</v>
      </c>
      <c r="Y48" s="111">
        <f>+IF(Y$2=$E48,$D48,IF(Y$2&gt;Y$257,0,IF($C48=Y$2,"PAGAR"&amp;" "&amp;TEXT($B48," #.##0,00"),0)))</f>
        <v>0</v>
      </c>
      <c r="Z48" s="111">
        <f>+IF(Z$2=$E48,$D48,IF(Z$2&gt;Z$257,0,IF($C48=Z$2,"PAGAR"&amp;" "&amp;TEXT($B48," #.##0,00"),0)))</f>
        <v>0</v>
      </c>
      <c r="AA48" s="111">
        <f>+IF(AA$2=$E48,$D48,IF(AA$2&gt;AA$257,0,IF($C48=AA$2,"PAGAR"&amp;" "&amp;TEXT($B48," #.##0,00"),0)))</f>
        <v>0</v>
      </c>
      <c r="AB48" s="111">
        <f>+IF(AB$2=$E48,$D48,IF(AB$2&gt;AB$257,0,IF($C48=AB$2,"PAGAR"&amp;" "&amp;TEXT($B48," #.##0,00"),0)))</f>
        <v>0</v>
      </c>
      <c r="AC48" s="111">
        <f>+IF(AC$2=$E48,$D48,IF(AC$2&gt;AC$257,0,IF($C48=AC$2,"PAGAR"&amp;" "&amp;TEXT($B48," #.##0,00"),0)))</f>
        <v>0</v>
      </c>
      <c r="AD48" s="111">
        <f>+IF(AD$2=$E48,$D48,IF(AD$2&gt;AD$257,0,IF($C48=AD$2,"PAGAR"&amp;" "&amp;TEXT($B48," #.##0,00"),0)))</f>
        <v>0</v>
      </c>
      <c r="AE48" s="111">
        <f>+IF(AE$2=$E48,$D48,IF(AE$2&gt;AE$257,0,IF($C48=AE$2,"PAGAR"&amp;" "&amp;TEXT($B48," #.##0,00"),0)))</f>
        <v>0</v>
      </c>
      <c r="AF48" s="111">
        <f>+IF(AF$2=$E48,$D48,IF(AF$2&gt;AF$257,0,IF($C48=AF$2,"PAGAR"&amp;" "&amp;TEXT($B48," #.##0,00"),0)))</f>
        <v>0</v>
      </c>
      <c r="AG48" s="111">
        <f>+IF(AG$2=$E48,$D48,IF(AG$2&gt;AG$257,0,IF($C48=AG$2,"PAGAR"&amp;" "&amp;TEXT($B48," #.##0,00"),0)))</f>
        <v>0</v>
      </c>
      <c r="AH48" s="111">
        <f>+IF(AH$2=$E48,$D48,IF(AH$2&gt;AH$257,0,IF($C48=AH$2,"PAGAR"&amp;" "&amp;TEXT($B48," #.##0,00"),0)))</f>
        <v>0</v>
      </c>
      <c r="AI48" s="111">
        <f>+IF(AI$2=$E48,$D48,IF(AI$2&gt;AI$257,0,IF($C48=AI$2,"PAGAR"&amp;" "&amp;TEXT($B48," #.##0,00"),0)))</f>
        <v>0</v>
      </c>
      <c r="AJ48" s="111">
        <f>+IF(AJ$2=$E48,$D48,IF(AJ$2&gt;AJ$257,0,IF($C48=AJ$2,"PAGAR"&amp;" "&amp;TEXT($B48," #.##0,00"),0)))</f>
        <v>0</v>
      </c>
      <c r="AK48" s="111">
        <f>+IF(AK$2=$E48,$D48,IF(AK$2&gt;AK$257,0,IF($C48=AK$2,"PAGAR"&amp;" "&amp;TEXT($B48," #.##0,00"),0)))</f>
        <v>0</v>
      </c>
      <c r="AL48" s="111">
        <f>+IF(AL$2=$E48,$D48,IF(AL$2&gt;AL$257,0,IF($C48=AL$2,"PAGAR"&amp;" "&amp;TEXT($B48," #.##0,00"),0)))</f>
        <v>0</v>
      </c>
      <c r="AM48" s="111">
        <f>+IF(AM$2=$E48,$D48,IF(AM$2&gt;AM$257,0,IF($C48=AM$2,"PAGAR"&amp;" "&amp;TEXT($B48," #.##0,00"),0)))</f>
        <v>0</v>
      </c>
      <c r="AN48" s="111">
        <f t="shared" ca="1" si="11"/>
        <v>0</v>
      </c>
      <c r="AO48" s="287">
        <f t="shared" si="12"/>
        <v>0</v>
      </c>
      <c r="AQ48" s="308">
        <v>29</v>
      </c>
      <c r="AR48" s="309"/>
      <c r="AS48" s="310">
        <v>30</v>
      </c>
      <c r="AT48" s="311"/>
      <c r="AU48" s="312">
        <v>31</v>
      </c>
      <c r="AV48" s="313"/>
    </row>
    <row r="49" spans="1:56" x14ac:dyDescent="0.25">
      <c r="A49" s="212"/>
      <c r="B49" s="90"/>
      <c r="C49" s="91"/>
      <c r="D49" s="97"/>
      <c r="E49" s="166"/>
      <c r="F49" s="84">
        <f ca="1">+IF(TODAY()&lt;DATEVALUE(1&amp;D$1&amp;E$1),0,IF(C49&gt;0,IF(C49-SUM(I$255:AM$255)&lt;0,B49-SUM(I49:AM49,0),0),0))+IF(C49=-1,B49-SUM(J49:AM49))</f>
        <v>0</v>
      </c>
      <c r="G49" s="1" t="str">
        <f t="shared" si="10"/>
        <v>-</v>
      </c>
      <c r="H49" s="14"/>
      <c r="I49" s="111">
        <f>IF(I$2=$E49,$D49,IF(I$2&gt;I$257,0,IF($C49=I$2,"PAGAR"&amp;" "&amp;TEXT($B49," #.##0,00"),IF($C49=-1,"PAGAR"&amp;" "&amp;TEXT($B49," #.##0,00"),0))))</f>
        <v>0</v>
      </c>
      <c r="J49" s="111">
        <f>+IF(J$2=$E49,$D49,IF(J$2&gt;J$257,0,IF($C49=J$2,"PAGAR"&amp;" "&amp;TEXT($B49," #.##0,00"),0)))</f>
        <v>0</v>
      </c>
      <c r="K49" s="111">
        <f>+IF(K$2=$E49,$D49,IF(K$2&gt;K$257,0,IF($C49=K$2,"PAGAR"&amp;" "&amp;TEXT($B49," #.##0,00"),0)))</f>
        <v>0</v>
      </c>
      <c r="L49" s="111">
        <f>+IF(L$2=$E49,$D49,IF(L$2&gt;L$257,0,IF($C49=L$2,"PAGAR"&amp;" "&amp;TEXT($B49," #.##0,00"),0)))</f>
        <v>0</v>
      </c>
      <c r="M49" s="111">
        <f>+IF(M$2=$E49,$D49,IF(M$2&gt;M$257,0,IF($C49=M$2,"PAGAR"&amp;" "&amp;TEXT($B49," #.##0,00"),0)))</f>
        <v>0</v>
      </c>
      <c r="N49" s="111">
        <f>+IF(N$2=$E49,$D49,IF(N$2&gt;N$257,0,IF($C49=N$2,"PAGAR"&amp;" "&amp;TEXT($B49," #.##0,00"),0)))</f>
        <v>0</v>
      </c>
      <c r="O49" s="111">
        <f>+IF(O$2=$E49,$D49,IF(O$2&gt;O$257,0,IF($C49=O$2,"PAGAR"&amp;" "&amp;TEXT($B49," #.##0,00"),0)))</f>
        <v>0</v>
      </c>
      <c r="P49" s="111">
        <f>+IF(P$2=$E49,$D49,IF(P$2&gt;P$257,0,IF($C49=P$2,"PAGAR"&amp;" "&amp;TEXT($B49," #.##0,00"),0)))</f>
        <v>0</v>
      </c>
      <c r="Q49" s="111">
        <f>+IF(Q$2=$E49,$D49,IF(Q$2&gt;Q$257,0,IF($C49=Q$2,"PAGAR"&amp;" "&amp;TEXT($B49," #.##0,00"),0)))</f>
        <v>0</v>
      </c>
      <c r="R49" s="111">
        <f>+IF(R$2=$E49,$D49,IF(R$2&gt;R$257,0,IF($C49=R$2,"PAGAR"&amp;" "&amp;TEXT($B49," #.##0,00"),0)))</f>
        <v>0</v>
      </c>
      <c r="S49" s="111">
        <f>+IF(S$2=$E49,$D49,IF(S$2&gt;S$257,0,IF($C49=S$2,"PAGAR"&amp;" "&amp;TEXT($B49," #.##0,00"),0)))</f>
        <v>0</v>
      </c>
      <c r="T49" s="111">
        <f>+IF(T$2=$E49,$D49,IF(T$2&gt;T$257,0,IF($C49=T$2,"PAGAR"&amp;" "&amp;TEXT($B49," #.##0,00"),0)))</f>
        <v>0</v>
      </c>
      <c r="U49" s="111">
        <f>+IF(U$2=$E49,$D49,IF(U$2&gt;U$257,0,IF($C49=U$2,"PAGAR"&amp;" "&amp;TEXT($B49," #.##0,00"),0)))</f>
        <v>0</v>
      </c>
      <c r="V49" s="111">
        <f>+IF(V$2=$E49,$D49,IF(V$2&gt;V$257,0,IF($C49=V$2,"PAGAR"&amp;" "&amp;TEXT($B49," #.##0,00"),0)))</f>
        <v>0</v>
      </c>
      <c r="W49" s="111">
        <f>+IF(W$2=$E49,$D49,IF(W$2&gt;W$257,0,IF($C49=W$2,"PAGAR"&amp;" "&amp;TEXT($B49," #.##0,00"),0)))</f>
        <v>0</v>
      </c>
      <c r="X49" s="111">
        <f>+IF(X$2=$E49,$D49,IF(X$2&gt;X$257,0,IF($C49=X$2,"PAGAR"&amp;" "&amp;TEXT($B49," #.##0,00"),0)))</f>
        <v>0</v>
      </c>
      <c r="Y49" s="111">
        <f>+IF(Y$2=$E49,$D49,IF(Y$2&gt;Y$257,0,IF($C49=Y$2,"PAGAR"&amp;" "&amp;TEXT($B49," #.##0,00"),0)))</f>
        <v>0</v>
      </c>
      <c r="Z49" s="111">
        <f>+IF(Z$2=$E49,$D49,IF(Z$2&gt;Z$257,0,IF($C49=Z$2,"PAGAR"&amp;" "&amp;TEXT($B49," #.##0,00"),0)))</f>
        <v>0</v>
      </c>
      <c r="AA49" s="111">
        <f>+IF(AA$2=$E49,$D49,IF(AA$2&gt;AA$257,0,IF($C49=AA$2,"PAGAR"&amp;" "&amp;TEXT($B49," #.##0,00"),0)))</f>
        <v>0</v>
      </c>
      <c r="AB49" s="111">
        <f>+IF(AB$2=$E49,$D49,IF(AB$2&gt;AB$257,0,IF($C49=AB$2,"PAGAR"&amp;" "&amp;TEXT($B49," #.##0,00"),0)))</f>
        <v>0</v>
      </c>
      <c r="AC49" s="111">
        <f>+IF(AC$2=$E49,$D49,IF(AC$2&gt;AC$257,0,IF($C49=AC$2,"PAGAR"&amp;" "&amp;TEXT($B49," #.##0,00"),0)))</f>
        <v>0</v>
      </c>
      <c r="AD49" s="111">
        <f>+IF(AD$2=$E49,$D49,IF(AD$2&gt;AD$257,0,IF($C49=AD$2,"PAGAR"&amp;" "&amp;TEXT($B49," #.##0,00"),0)))</f>
        <v>0</v>
      </c>
      <c r="AE49" s="111">
        <f>+IF(AE$2=$E49,$D49,IF(AE$2&gt;AE$257,0,IF($C49=AE$2,"PAGAR"&amp;" "&amp;TEXT($B49," #.##0,00"),0)))</f>
        <v>0</v>
      </c>
      <c r="AF49" s="111">
        <f>+IF(AF$2=$E49,$D49,IF(AF$2&gt;AF$257,0,IF($C49=AF$2,"PAGAR"&amp;" "&amp;TEXT($B49," #.##0,00"),0)))</f>
        <v>0</v>
      </c>
      <c r="AG49" s="111">
        <f>+IF(AG$2=$E49,$D49,IF(AG$2&gt;AG$257,0,IF($C49=AG$2,"PAGAR"&amp;" "&amp;TEXT($B49," #.##0,00"),0)))</f>
        <v>0</v>
      </c>
      <c r="AH49" s="111">
        <f>+IF(AH$2=$E49,$D49,IF(AH$2&gt;AH$257,0,IF($C49=AH$2,"PAGAR"&amp;" "&amp;TEXT($B49," #.##0,00"),0)))</f>
        <v>0</v>
      </c>
      <c r="AI49" s="111">
        <f>+IF(AI$2=$E49,$D49,IF(AI$2&gt;AI$257,0,IF($C49=AI$2,"PAGAR"&amp;" "&amp;TEXT($B49," #.##0,00"),0)))</f>
        <v>0</v>
      </c>
      <c r="AJ49" s="111">
        <f>+IF(AJ$2=$E49,$D49,IF(AJ$2&gt;AJ$257,0,IF($C49=AJ$2,"PAGAR"&amp;" "&amp;TEXT($B49," #.##0,00"),0)))</f>
        <v>0</v>
      </c>
      <c r="AK49" s="111">
        <f>+IF(AK$2=$E49,$D49,IF(AK$2&gt;AK$257,0,IF($C49=AK$2,"PAGAR"&amp;" "&amp;TEXT($B49," #.##0,00"),0)))</f>
        <v>0</v>
      </c>
      <c r="AL49" s="111">
        <f>+IF(AL$2=$E49,$D49,IF(AL$2&gt;AL$257,0,IF($C49=AL$2,"PAGAR"&amp;" "&amp;TEXT($B49," #.##0,00"),0)))</f>
        <v>0</v>
      </c>
      <c r="AM49" s="111">
        <f>+IF(AM$2=$E49,$D49,IF(AM$2&gt;AM$257,0,IF($C49=AM$2,"PAGAR"&amp;" "&amp;TEXT($B49," #.##0,00"),0)))</f>
        <v>0</v>
      </c>
      <c r="AN49" s="111">
        <f t="shared" ca="1" si="11"/>
        <v>0</v>
      </c>
      <c r="AO49" s="287">
        <f t="shared" si="12"/>
        <v>0</v>
      </c>
      <c r="AQ49" s="232" t="str" cm="1">
        <f t="array" ref="AQ49">_xlfn._xlws.FILTER($A$5:$A$152,$C$5:$C$152=AQ48,"livre")</f>
        <v>livre</v>
      </c>
      <c r="AR49" s="230" t="str" cm="1">
        <f t="array" ref="AR49">_xlfn._xlws.FILTER($B$5:$B$152,$C$5:$C$152=AQ48,"livre")</f>
        <v>livre</v>
      </c>
      <c r="AS49" s="234" t="str" cm="1">
        <f t="array" ref="AS49:AS51">_xlfn._xlws.FILTER($A$5:$A$152,$C$5:$C$152=AS48,"livre")</f>
        <v>Cristiane</v>
      </c>
      <c r="AT49" s="225" cm="1">
        <f t="array" ref="AT49:AT51">_xlfn._xlws.FILTER($B$5:$B$152,$C$5:$C$152=AS48,"livre")</f>
        <v>940</v>
      </c>
      <c r="AU49" s="255" t="str" cm="1">
        <f t="array" ref="AU49">_xlfn._xlws.FILTER($A$5:$A$152,$C$5:$C$152=AU48,"livre")</f>
        <v>livre</v>
      </c>
      <c r="AV49" s="260" t="str" cm="1">
        <f t="array" ref="AV49">_xlfn._xlws.FILTER($B$5:$B$152,$C$5:$C$152=AU48,"livre")</f>
        <v>livre</v>
      </c>
      <c r="AW49" s="223"/>
      <c r="AX49" s="223"/>
      <c r="AY49" s="223"/>
      <c r="AZ49" s="224"/>
      <c r="BA49" s="224"/>
      <c r="BB49" s="224"/>
      <c r="BC49" s="224"/>
      <c r="BD49" s="224"/>
    </row>
    <row r="50" spans="1:56" x14ac:dyDescent="0.25">
      <c r="A50" s="212"/>
      <c r="B50" s="90"/>
      <c r="C50" s="91"/>
      <c r="D50" s="97"/>
      <c r="E50" s="166"/>
      <c r="F50" s="84">
        <f ca="1">+IF(TODAY()&lt;DATEVALUE(1&amp;D$1&amp;E$1),0,IF(C50&gt;0,IF(C50-SUM(I$255:AM$255)&lt;0,B50-SUM(I50:AM50,0),0),0))+IF(C50=-1,B50-SUM(J50:AM50))</f>
        <v>0</v>
      </c>
      <c r="G50" s="1" t="str">
        <f t="shared" si="10"/>
        <v>-</v>
      </c>
      <c r="H50" s="14"/>
      <c r="I50" s="111">
        <f>IF(I$2=$E50,$D50,IF(I$2&gt;I$257,0,IF($C50=I$2,"PAGAR"&amp;" "&amp;TEXT($B50," #.##0,00"),IF($C50=-1,"PAGAR"&amp;" "&amp;TEXT($B50," #.##0,00"),0))))</f>
        <v>0</v>
      </c>
      <c r="J50" s="111">
        <f>+IF(J$2=$E50,$D50,IF(J$2&gt;J$257,0,IF($C50=J$2,"PAGAR"&amp;" "&amp;TEXT($B50," #.##0,00"),0)))</f>
        <v>0</v>
      </c>
      <c r="K50" s="111">
        <f>+IF(K$2=$E50,$D50,IF(K$2&gt;K$257,0,IF($C50=K$2,"PAGAR"&amp;" "&amp;TEXT($B50," #.##0,00"),0)))</f>
        <v>0</v>
      </c>
      <c r="L50" s="111">
        <f>+IF(L$2=$E50,$D50,IF(L$2&gt;L$257,0,IF($C50=L$2,"PAGAR"&amp;" "&amp;TEXT($B50," #.##0,00"),0)))</f>
        <v>0</v>
      </c>
      <c r="M50" s="111">
        <f>+IF(M$2=$E50,$D50,IF(M$2&gt;M$257,0,IF($C50=M$2,"PAGAR"&amp;" "&amp;TEXT($B50," #.##0,00"),0)))</f>
        <v>0</v>
      </c>
      <c r="N50" s="111">
        <f>+IF(N$2=$E50,$D50,IF(N$2&gt;N$257,0,IF($C50=N$2,"PAGAR"&amp;" "&amp;TEXT($B50," #.##0,00"),0)))</f>
        <v>0</v>
      </c>
      <c r="O50" s="111">
        <f>+IF(O$2=$E50,$D50,IF(O$2&gt;O$257,0,IF($C50=O$2,"PAGAR"&amp;" "&amp;TEXT($B50," #.##0,00"),0)))</f>
        <v>0</v>
      </c>
      <c r="P50" s="111">
        <f>+IF(P$2=$E50,$D50,IF(P$2&gt;P$257,0,IF($C50=P$2,"PAGAR"&amp;" "&amp;TEXT($B50," #.##0,00"),0)))</f>
        <v>0</v>
      </c>
      <c r="Q50" s="111">
        <f>+IF(Q$2=$E50,$D50,IF(Q$2&gt;Q$257,0,IF($C50=Q$2,"PAGAR"&amp;" "&amp;TEXT($B50," #.##0,00"),0)))</f>
        <v>0</v>
      </c>
      <c r="R50" s="111">
        <f>+IF(R$2=$E50,$D50,IF(R$2&gt;R$257,0,IF($C50=R$2,"PAGAR"&amp;" "&amp;TEXT($B50," #.##0,00"),0)))</f>
        <v>0</v>
      </c>
      <c r="S50" s="111">
        <f>+IF(S$2=$E50,$D50,IF(S$2&gt;S$257,0,IF($C50=S$2,"PAGAR"&amp;" "&amp;TEXT($B50," #.##0,00"),0)))</f>
        <v>0</v>
      </c>
      <c r="T50" s="111">
        <f>+IF(T$2=$E50,$D50,IF(T$2&gt;T$257,0,IF($C50=T$2,"PAGAR"&amp;" "&amp;TEXT($B50," #.##0,00"),0)))</f>
        <v>0</v>
      </c>
      <c r="U50" s="111">
        <f>+IF(U$2=$E50,$D50,IF(U$2&gt;U$257,0,IF($C50=U$2,"PAGAR"&amp;" "&amp;TEXT($B50," #.##0,00"),0)))</f>
        <v>0</v>
      </c>
      <c r="V50" s="111">
        <f>+IF(V$2=$E50,$D50,IF(V$2&gt;V$257,0,IF($C50=V$2,"PAGAR"&amp;" "&amp;TEXT($B50," #.##0,00"),0)))</f>
        <v>0</v>
      </c>
      <c r="W50" s="111">
        <f>+IF(W$2=$E50,$D50,IF(W$2&gt;W$257,0,IF($C50=W$2,"PAGAR"&amp;" "&amp;TEXT($B50," #.##0,00"),0)))</f>
        <v>0</v>
      </c>
      <c r="X50" s="111">
        <f>+IF(X$2=$E50,$D50,IF(X$2&gt;X$257,0,IF($C50=X$2,"PAGAR"&amp;" "&amp;TEXT($B50," #.##0,00"),0)))</f>
        <v>0</v>
      </c>
      <c r="Y50" s="111">
        <f>+IF(Y$2=$E50,$D50,IF(Y$2&gt;Y$257,0,IF($C50=Y$2,"PAGAR"&amp;" "&amp;TEXT($B50," #.##0,00"),0)))</f>
        <v>0</v>
      </c>
      <c r="Z50" s="111">
        <f>+IF(Z$2=$E50,$D50,IF(Z$2&gt;Z$257,0,IF($C50=Z$2,"PAGAR"&amp;" "&amp;TEXT($B50," #.##0,00"),0)))</f>
        <v>0</v>
      </c>
      <c r="AA50" s="111">
        <f>+IF(AA$2=$E50,$D50,IF(AA$2&gt;AA$257,0,IF($C50=AA$2,"PAGAR"&amp;" "&amp;TEXT($B50," #.##0,00"),0)))</f>
        <v>0</v>
      </c>
      <c r="AB50" s="111">
        <f>+IF(AB$2=$E50,$D50,IF(AB$2&gt;AB$257,0,IF($C50=AB$2,"PAGAR"&amp;" "&amp;TEXT($B50," #.##0,00"),0)))</f>
        <v>0</v>
      </c>
      <c r="AC50" s="111">
        <f>+IF(AC$2=$E50,$D50,IF(AC$2&gt;AC$257,0,IF($C50=AC$2,"PAGAR"&amp;" "&amp;TEXT($B50," #.##0,00"),0)))</f>
        <v>0</v>
      </c>
      <c r="AD50" s="111">
        <f>+IF(AD$2=$E50,$D50,IF(AD$2&gt;AD$257,0,IF($C50=AD$2,"PAGAR"&amp;" "&amp;TEXT($B50," #.##0,00"),0)))</f>
        <v>0</v>
      </c>
      <c r="AE50" s="111">
        <f>+IF(AE$2=$E50,$D50,IF(AE$2&gt;AE$257,0,IF($C50=AE$2,"PAGAR"&amp;" "&amp;TEXT($B50," #.##0,00"),0)))</f>
        <v>0</v>
      </c>
      <c r="AF50" s="111">
        <f>+IF(AF$2=$E50,$D50,IF(AF$2&gt;AF$257,0,IF($C50=AF$2,"PAGAR"&amp;" "&amp;TEXT($B50," #.##0,00"),0)))</f>
        <v>0</v>
      </c>
      <c r="AG50" s="111">
        <f>+IF(AG$2=$E50,$D50,IF(AG$2&gt;AG$257,0,IF($C50=AG$2,"PAGAR"&amp;" "&amp;TEXT($B50," #.##0,00"),0)))</f>
        <v>0</v>
      </c>
      <c r="AH50" s="111">
        <f>+IF(AH$2=$E50,$D50,IF(AH$2&gt;AH$257,0,IF($C50=AH$2,"PAGAR"&amp;" "&amp;TEXT($B50," #.##0,00"),0)))</f>
        <v>0</v>
      </c>
      <c r="AI50" s="111">
        <f>+IF(AI$2=$E50,$D50,IF(AI$2&gt;AI$257,0,IF($C50=AI$2,"PAGAR"&amp;" "&amp;TEXT($B50," #.##0,00"),0)))</f>
        <v>0</v>
      </c>
      <c r="AJ50" s="111">
        <f>+IF(AJ$2=$E50,$D50,IF(AJ$2&gt;AJ$257,0,IF($C50=AJ$2,"PAGAR"&amp;" "&amp;TEXT($B50," #.##0,00"),0)))</f>
        <v>0</v>
      </c>
      <c r="AK50" s="111">
        <f>+IF(AK$2=$E50,$D50,IF(AK$2&gt;AK$257,0,IF($C50=AK$2,"PAGAR"&amp;" "&amp;TEXT($B50," #.##0,00"),0)))</f>
        <v>0</v>
      </c>
      <c r="AL50" s="111">
        <f>+IF(AL$2=$E50,$D50,IF(AL$2&gt;AL$257,0,IF($C50=AL$2,"PAGAR"&amp;" "&amp;TEXT($B50," #.##0,00"),0)))</f>
        <v>0</v>
      </c>
      <c r="AM50" s="111">
        <f>+IF(AM$2=$E50,$D50,IF(AM$2&gt;AM$257,0,IF($C50=AM$2,"PAGAR"&amp;" "&amp;TEXT($B50," #.##0,00"),0)))</f>
        <v>0</v>
      </c>
      <c r="AN50" s="111">
        <f t="shared" ca="1" si="11"/>
        <v>0</v>
      </c>
      <c r="AO50" s="287">
        <f t="shared" si="12"/>
        <v>0</v>
      </c>
      <c r="AQ50" s="250"/>
      <c r="AR50" s="251"/>
      <c r="AS50" s="245" t="str">
        <v>Parcela IR 4lock até 2024</v>
      </c>
      <c r="AT50" s="246">
        <v>3237.6</v>
      </c>
      <c r="AU50" s="256"/>
      <c r="AV50" s="261"/>
      <c r="AW50" s="223"/>
      <c r="AX50" s="223"/>
      <c r="AY50" s="223"/>
      <c r="AZ50" s="224"/>
      <c r="BA50" s="224"/>
      <c r="BB50" s="224"/>
      <c r="BC50" s="224"/>
      <c r="BD50" s="224"/>
    </row>
    <row r="51" spans="1:56" x14ac:dyDescent="0.25">
      <c r="A51" s="212"/>
      <c r="B51" s="90"/>
      <c r="C51" s="91"/>
      <c r="D51" s="97"/>
      <c r="E51" s="166"/>
      <c r="F51" s="84">
        <f ca="1">+IF(TODAY()&lt;DATEVALUE(1&amp;D$1&amp;E$1),0,IF(C51&gt;0,IF(C51-SUM(I$255:AM$255)&lt;0,B51-SUM(I51:AM51,0),0),0))+IF(C51=-1,B51-SUM(J51:AM51))</f>
        <v>0</v>
      </c>
      <c r="G51" s="1" t="str">
        <f t="shared" si="10"/>
        <v>-</v>
      </c>
      <c r="H51" s="14"/>
      <c r="I51" s="111">
        <f>IF(I$2=$E51,$D51,IF(I$2&gt;I$257,0,IF($C51=I$2,"PAGAR"&amp;" "&amp;TEXT($B51," #.##0,00"),IF($C51=-1,"PAGAR"&amp;" "&amp;TEXT($B51," #.##0,00"),0))))</f>
        <v>0</v>
      </c>
      <c r="J51" s="111">
        <f>+IF(J$2=$E51,$D51,IF(J$2&gt;J$257,0,IF($C51=J$2,"PAGAR"&amp;" "&amp;TEXT($B51," #.##0,00"),0)))</f>
        <v>0</v>
      </c>
      <c r="K51" s="111">
        <f>+IF(K$2=$E51,$D51,IF(K$2&gt;K$257,0,IF($C51=K$2,"PAGAR"&amp;" "&amp;TEXT($B51," #.##0,00"),0)))</f>
        <v>0</v>
      </c>
      <c r="L51" s="111">
        <f>+IF(L$2=$E51,$D51,IF(L$2&gt;L$257,0,IF($C51=L$2,"PAGAR"&amp;" "&amp;TEXT($B51," #.##0,00"),0)))</f>
        <v>0</v>
      </c>
      <c r="M51" s="111">
        <f>+IF(M$2=$E51,$D51,IF(M$2&gt;M$257,0,IF($C51=M$2,"PAGAR"&amp;" "&amp;TEXT($B51," #.##0,00"),0)))</f>
        <v>0</v>
      </c>
      <c r="N51" s="111">
        <f>+IF(N$2=$E51,$D51,IF(N$2&gt;N$257,0,IF($C51=N$2,"PAGAR"&amp;" "&amp;TEXT($B51," #.##0,00"),0)))</f>
        <v>0</v>
      </c>
      <c r="O51" s="111">
        <f>+IF(O$2=$E51,$D51,IF(O$2&gt;O$257,0,IF($C51=O$2,"PAGAR"&amp;" "&amp;TEXT($B51," #.##0,00"),0)))</f>
        <v>0</v>
      </c>
      <c r="P51" s="111">
        <f>+IF(P$2=$E51,$D51,IF(P$2&gt;P$257,0,IF($C51=P$2,"PAGAR"&amp;" "&amp;TEXT($B51," #.##0,00"),0)))</f>
        <v>0</v>
      </c>
      <c r="Q51" s="111">
        <f>+IF(Q$2=$E51,$D51,IF(Q$2&gt;Q$257,0,IF($C51=Q$2,"PAGAR"&amp;" "&amp;TEXT($B51," #.##0,00"),0)))</f>
        <v>0</v>
      </c>
      <c r="R51" s="111">
        <f>+IF(R$2=$E51,$D51,IF(R$2&gt;R$257,0,IF($C51=R$2,"PAGAR"&amp;" "&amp;TEXT($B51," #.##0,00"),0)))</f>
        <v>0</v>
      </c>
      <c r="S51" s="111">
        <f>+IF(S$2=$E51,$D51,IF(S$2&gt;S$257,0,IF($C51=S$2,"PAGAR"&amp;" "&amp;TEXT($B51," #.##0,00"),0)))</f>
        <v>0</v>
      </c>
      <c r="T51" s="111">
        <f>+IF(T$2=$E51,$D51,IF(T$2&gt;T$257,0,IF($C51=T$2,"PAGAR"&amp;" "&amp;TEXT($B51," #.##0,00"),0)))</f>
        <v>0</v>
      </c>
      <c r="U51" s="111">
        <f>+IF(U$2=$E51,$D51,IF(U$2&gt;U$257,0,IF($C51=U$2,"PAGAR"&amp;" "&amp;TEXT($B51," #.##0,00"),0)))</f>
        <v>0</v>
      </c>
      <c r="V51" s="111">
        <f>+IF(V$2=$E51,$D51,IF(V$2&gt;V$257,0,IF($C51=V$2,"PAGAR"&amp;" "&amp;TEXT($B51," #.##0,00"),0)))</f>
        <v>0</v>
      </c>
      <c r="W51" s="111">
        <f>+IF(W$2=$E51,$D51,IF(W$2&gt;W$257,0,IF($C51=W$2,"PAGAR"&amp;" "&amp;TEXT($B51," #.##0,00"),0)))</f>
        <v>0</v>
      </c>
      <c r="X51" s="111">
        <f>+IF(X$2=$E51,$D51,IF(X$2&gt;X$257,0,IF($C51=X$2,"PAGAR"&amp;" "&amp;TEXT($B51," #.##0,00"),0)))</f>
        <v>0</v>
      </c>
      <c r="Y51" s="111">
        <f>+IF(Y$2=$E51,$D51,IF(Y$2&gt;Y$257,0,IF($C51=Y$2,"PAGAR"&amp;" "&amp;TEXT($B51," #.##0,00"),0)))</f>
        <v>0</v>
      </c>
      <c r="Z51" s="111">
        <f>+IF(Z$2=$E51,$D51,IF(Z$2&gt;Z$257,0,IF($C51=Z$2,"PAGAR"&amp;" "&amp;TEXT($B51," #.##0,00"),0)))</f>
        <v>0</v>
      </c>
      <c r="AA51" s="111">
        <f>+IF(AA$2=$E51,$D51,IF(AA$2&gt;AA$257,0,IF($C51=AA$2,"PAGAR"&amp;" "&amp;TEXT($B51," #.##0,00"),0)))</f>
        <v>0</v>
      </c>
      <c r="AB51" s="111">
        <f>+IF(AB$2=$E51,$D51,IF(AB$2&gt;AB$257,0,IF($C51=AB$2,"PAGAR"&amp;" "&amp;TEXT($B51," #.##0,00"),0)))</f>
        <v>0</v>
      </c>
      <c r="AC51" s="111">
        <f>+IF(AC$2=$E51,$D51,IF(AC$2&gt;AC$257,0,IF($C51=AC$2,"PAGAR"&amp;" "&amp;TEXT($B51," #.##0,00"),0)))</f>
        <v>0</v>
      </c>
      <c r="AD51" s="111">
        <f>+IF(AD$2=$E51,$D51,IF(AD$2&gt;AD$257,0,IF($C51=AD$2,"PAGAR"&amp;" "&amp;TEXT($B51," #.##0,00"),0)))</f>
        <v>0</v>
      </c>
      <c r="AE51" s="111">
        <f>+IF(AE$2=$E51,$D51,IF(AE$2&gt;AE$257,0,IF($C51=AE$2,"PAGAR"&amp;" "&amp;TEXT($B51," #.##0,00"),0)))</f>
        <v>0</v>
      </c>
      <c r="AF51" s="111">
        <f>+IF(AF$2=$E51,$D51,IF(AF$2&gt;AF$257,0,IF($C51=AF$2,"PAGAR"&amp;" "&amp;TEXT($B51," #.##0,00"),0)))</f>
        <v>0</v>
      </c>
      <c r="AG51" s="111">
        <f>+IF(AG$2=$E51,$D51,IF(AG$2&gt;AG$257,0,IF($C51=AG$2,"PAGAR"&amp;" "&amp;TEXT($B51," #.##0,00"),0)))</f>
        <v>0</v>
      </c>
      <c r="AH51" s="111">
        <f>+IF(AH$2=$E51,$D51,IF(AH$2&gt;AH$257,0,IF($C51=AH$2,"PAGAR"&amp;" "&amp;TEXT($B51," #.##0,00"),0)))</f>
        <v>0</v>
      </c>
      <c r="AI51" s="111">
        <f>+IF(AI$2=$E51,$D51,IF(AI$2&gt;AI$257,0,IF($C51=AI$2,"PAGAR"&amp;" "&amp;TEXT($B51," #.##0,00"),0)))</f>
        <v>0</v>
      </c>
      <c r="AJ51" s="111">
        <f>+IF(AJ$2=$E51,$D51,IF(AJ$2&gt;AJ$257,0,IF($C51=AJ$2,"PAGAR"&amp;" "&amp;TEXT($B51," #.##0,00"),0)))</f>
        <v>0</v>
      </c>
      <c r="AK51" s="111">
        <f>+IF(AK$2=$E51,$D51,IF(AK$2&gt;AK$257,0,IF($C51=AK$2,"PAGAR"&amp;" "&amp;TEXT($B51," #.##0,00"),0)))</f>
        <v>0</v>
      </c>
      <c r="AL51" s="111">
        <f>+IF(AL$2=$E51,$D51,IF(AL$2&gt;AL$257,0,IF($C51=AL$2,"PAGAR"&amp;" "&amp;TEXT($B51," #.##0,00"),0)))</f>
        <v>0</v>
      </c>
      <c r="AM51" s="111">
        <f>+IF(AM$2=$E51,$D51,IF(AM$2&gt;AM$257,0,IF($C51=AM$2,"PAGAR"&amp;" "&amp;TEXT($B51," #.##0,00"),0)))</f>
        <v>0</v>
      </c>
      <c r="AN51" s="111">
        <f t="shared" ca="1" si="11"/>
        <v>0</v>
      </c>
      <c r="AO51" s="287">
        <f t="shared" si="12"/>
        <v>0</v>
      </c>
      <c r="AQ51" s="232"/>
      <c r="AR51" s="230"/>
      <c r="AS51" s="234" t="str">
        <v>Parcela IRPF Claudio?</v>
      </c>
      <c r="AT51" s="225">
        <v>1286.3499999999999</v>
      </c>
      <c r="AU51" s="255"/>
      <c r="AV51" s="260"/>
      <c r="AW51" s="223"/>
      <c r="AX51" s="223"/>
      <c r="AY51" s="223"/>
      <c r="AZ51" s="224"/>
      <c r="BA51" s="224"/>
      <c r="BB51" s="224"/>
      <c r="BC51" s="224"/>
      <c r="BD51" s="224"/>
    </row>
    <row r="52" spans="1:56" x14ac:dyDescent="0.25">
      <c r="A52" s="212"/>
      <c r="B52" s="90"/>
      <c r="C52" s="91"/>
      <c r="D52" s="97"/>
      <c r="E52" s="166"/>
      <c r="F52" s="84">
        <f ca="1">+IF(TODAY()&lt;DATEVALUE(1&amp;D$1&amp;E$1),0,IF(C52&gt;0,IF(C52-SUM(I$255:AM$255)&lt;0,B52-SUM(I52:AM52,0),0),0))+IF(C52=-1,B52-SUM(J52:AM52))</f>
        <v>0</v>
      </c>
      <c r="G52" s="1" t="str">
        <f t="shared" si="10"/>
        <v>-</v>
      </c>
      <c r="H52" s="14"/>
      <c r="I52" s="111">
        <f>IF(I$2=$E52,$D52,IF(I$2&gt;I$257,0,IF($C52=I$2,"PAGAR"&amp;" "&amp;TEXT($B52," #.##0,00"),IF($C52=-1,"PAGAR"&amp;" "&amp;TEXT($B52," #.##0,00"),0))))</f>
        <v>0</v>
      </c>
      <c r="J52" s="111">
        <f>+IF(J$2=$E52,$D52,IF(J$2&gt;J$257,0,IF($C52=J$2,"PAGAR"&amp;" "&amp;TEXT($B52," #.##0,00"),0)))</f>
        <v>0</v>
      </c>
      <c r="K52" s="111">
        <f>+IF(K$2=$E52,$D52,IF(K$2&gt;K$257,0,IF($C52=K$2,"PAGAR"&amp;" "&amp;TEXT($B52," #.##0,00"),0)))</f>
        <v>0</v>
      </c>
      <c r="L52" s="111">
        <f>+IF(L$2=$E52,$D52,IF(L$2&gt;L$257,0,IF($C52=L$2,"PAGAR"&amp;" "&amp;TEXT($B52," #.##0,00"),0)))</f>
        <v>0</v>
      </c>
      <c r="M52" s="111">
        <f>+IF(M$2=$E52,$D52,IF(M$2&gt;M$257,0,IF($C52=M$2,"PAGAR"&amp;" "&amp;TEXT($B52," #.##0,00"),0)))</f>
        <v>0</v>
      </c>
      <c r="N52" s="111">
        <f>+IF(N$2=$E52,$D52,IF(N$2&gt;N$257,0,IF($C52=N$2,"PAGAR"&amp;" "&amp;TEXT($B52," #.##0,00"),0)))</f>
        <v>0</v>
      </c>
      <c r="O52" s="111">
        <f>+IF(O$2=$E52,$D52,IF(O$2&gt;O$257,0,IF($C52=O$2,"PAGAR"&amp;" "&amp;TEXT($B52," #.##0,00"),0)))</f>
        <v>0</v>
      </c>
      <c r="P52" s="111">
        <f>+IF(P$2=$E52,$D52,IF(P$2&gt;P$257,0,IF($C52=P$2,"PAGAR"&amp;" "&amp;TEXT($B52," #.##0,00"),0)))</f>
        <v>0</v>
      </c>
      <c r="Q52" s="111">
        <f>+IF(Q$2=$E52,$D52,IF(Q$2&gt;Q$257,0,IF($C52=Q$2,"PAGAR"&amp;" "&amp;TEXT($B52," #.##0,00"),0)))</f>
        <v>0</v>
      </c>
      <c r="R52" s="111">
        <f>+IF(R$2=$E52,$D52,IF(R$2&gt;R$257,0,IF($C52=R$2,"PAGAR"&amp;" "&amp;TEXT($B52," #.##0,00"),0)))</f>
        <v>0</v>
      </c>
      <c r="S52" s="111">
        <f>+IF(S$2=$E52,$D52,IF(S$2&gt;S$257,0,IF($C52=S$2,"PAGAR"&amp;" "&amp;TEXT($B52," #.##0,00"),0)))</f>
        <v>0</v>
      </c>
      <c r="T52" s="111">
        <f>+IF(T$2=$E52,$D52,IF(T$2&gt;T$257,0,IF($C52=T$2,"PAGAR"&amp;" "&amp;TEXT($B52," #.##0,00"),0)))</f>
        <v>0</v>
      </c>
      <c r="U52" s="111">
        <f>+IF(U$2=$E52,$D52,IF(U$2&gt;U$257,0,IF($C52=U$2,"PAGAR"&amp;" "&amp;TEXT($B52," #.##0,00"),0)))</f>
        <v>0</v>
      </c>
      <c r="V52" s="111">
        <f>+IF(V$2=$E52,$D52,IF(V$2&gt;V$257,0,IF($C52=V$2,"PAGAR"&amp;" "&amp;TEXT($B52," #.##0,00"),0)))</f>
        <v>0</v>
      </c>
      <c r="W52" s="111">
        <f>+IF(W$2=$E52,$D52,IF(W$2&gt;W$257,0,IF($C52=W$2,"PAGAR"&amp;" "&amp;TEXT($B52," #.##0,00"),0)))</f>
        <v>0</v>
      </c>
      <c r="X52" s="111">
        <f>+IF(X$2=$E52,$D52,IF(X$2&gt;X$257,0,IF($C52=X$2,"PAGAR"&amp;" "&amp;TEXT($B52," #.##0,00"),0)))</f>
        <v>0</v>
      </c>
      <c r="Y52" s="111">
        <f>+IF(Y$2=$E52,$D52,IF(Y$2&gt;Y$257,0,IF($C52=Y$2,"PAGAR"&amp;" "&amp;TEXT($B52," #.##0,00"),0)))</f>
        <v>0</v>
      </c>
      <c r="Z52" s="111">
        <f>+IF(Z$2=$E52,$D52,IF(Z$2&gt;Z$257,0,IF($C52=Z$2,"PAGAR"&amp;" "&amp;TEXT($B52," #.##0,00"),0)))</f>
        <v>0</v>
      </c>
      <c r="AA52" s="111">
        <f>+IF(AA$2=$E52,$D52,IF(AA$2&gt;AA$257,0,IF($C52=AA$2,"PAGAR"&amp;" "&amp;TEXT($B52," #.##0,00"),0)))</f>
        <v>0</v>
      </c>
      <c r="AB52" s="111">
        <f>+IF(AB$2=$E52,$D52,IF(AB$2&gt;AB$257,0,IF($C52=AB$2,"PAGAR"&amp;" "&amp;TEXT($B52," #.##0,00"),0)))</f>
        <v>0</v>
      </c>
      <c r="AC52" s="111">
        <f>+IF(AC$2=$E52,$D52,IF(AC$2&gt;AC$257,0,IF($C52=AC$2,"PAGAR"&amp;" "&amp;TEXT($B52," #.##0,00"),0)))</f>
        <v>0</v>
      </c>
      <c r="AD52" s="111">
        <f>+IF(AD$2=$E52,$D52,IF(AD$2&gt;AD$257,0,IF($C52=AD$2,"PAGAR"&amp;" "&amp;TEXT($B52," #.##0,00"),0)))</f>
        <v>0</v>
      </c>
      <c r="AE52" s="111">
        <f>+IF(AE$2=$E52,$D52,IF(AE$2&gt;AE$257,0,IF($C52=AE$2,"PAGAR"&amp;" "&amp;TEXT($B52," #.##0,00"),0)))</f>
        <v>0</v>
      </c>
      <c r="AF52" s="111">
        <f>+IF(AF$2=$E52,$D52,IF(AF$2&gt;AF$257,0,IF($C52=AF$2,"PAGAR"&amp;" "&amp;TEXT($B52," #.##0,00"),0)))</f>
        <v>0</v>
      </c>
      <c r="AG52" s="111">
        <f>+IF(AG$2=$E52,$D52,IF(AG$2&gt;AG$257,0,IF($C52=AG$2,"PAGAR"&amp;" "&amp;TEXT($B52," #.##0,00"),0)))</f>
        <v>0</v>
      </c>
      <c r="AH52" s="111">
        <f>+IF(AH$2=$E52,$D52,IF(AH$2&gt;AH$257,0,IF($C52=AH$2,"PAGAR"&amp;" "&amp;TEXT($B52," #.##0,00"),0)))</f>
        <v>0</v>
      </c>
      <c r="AI52" s="111">
        <f>+IF(AI$2=$E52,$D52,IF(AI$2&gt;AI$257,0,IF($C52=AI$2,"PAGAR"&amp;" "&amp;TEXT($B52," #.##0,00"),0)))</f>
        <v>0</v>
      </c>
      <c r="AJ52" s="111">
        <f>+IF(AJ$2=$E52,$D52,IF(AJ$2&gt;AJ$257,0,IF($C52=AJ$2,"PAGAR"&amp;" "&amp;TEXT($B52," #.##0,00"),0)))</f>
        <v>0</v>
      </c>
      <c r="AK52" s="111">
        <f>+IF(AK$2=$E52,$D52,IF(AK$2&gt;AK$257,0,IF($C52=AK$2,"PAGAR"&amp;" "&amp;TEXT($B52," #.##0,00"),0)))</f>
        <v>0</v>
      </c>
      <c r="AL52" s="111">
        <f>+IF(AL$2=$E52,$D52,IF(AL$2&gt;AL$257,0,IF($C52=AL$2,"PAGAR"&amp;" "&amp;TEXT($B52," #.##0,00"),0)))</f>
        <v>0</v>
      </c>
      <c r="AM52" s="111">
        <f>+IF(AM$2=$E52,$D52,IF(AM$2&gt;AM$257,0,IF($C52=AM$2,"PAGAR"&amp;" "&amp;TEXT($B52," #.##0,00"),0)))</f>
        <v>0</v>
      </c>
      <c r="AN52" s="111">
        <f t="shared" ca="1" si="11"/>
        <v>0</v>
      </c>
      <c r="AO52" s="287">
        <f t="shared" si="12"/>
        <v>0</v>
      </c>
      <c r="AQ52" s="250"/>
      <c r="AR52" s="251"/>
      <c r="AS52" s="245"/>
      <c r="AT52" s="246"/>
      <c r="AU52" s="256"/>
      <c r="AV52" s="261"/>
      <c r="AW52" s="223"/>
      <c r="AX52" s="223"/>
      <c r="AY52" s="223"/>
      <c r="AZ52" s="224"/>
      <c r="BA52" s="224"/>
      <c r="BB52" s="224"/>
      <c r="BC52" s="224"/>
      <c r="BD52" s="224"/>
    </row>
    <row r="53" spans="1:56" x14ac:dyDescent="0.25">
      <c r="A53" s="212"/>
      <c r="B53" s="90"/>
      <c r="C53" s="91"/>
      <c r="D53" s="97"/>
      <c r="E53" s="166"/>
      <c r="F53" s="84">
        <f ca="1">+IF(TODAY()&lt;DATEVALUE(1&amp;D$1&amp;E$1),0,IF(C53&gt;0,IF(C53-SUM(I$255:AM$255)&lt;0,B53-SUM(I53:AM53,0),0),0))+IF(C53=-1,B53-SUM(J53:AM53))</f>
        <v>0</v>
      </c>
      <c r="G53" s="1" t="str">
        <f t="shared" si="10"/>
        <v>-</v>
      </c>
      <c r="H53" s="14"/>
      <c r="I53" s="111">
        <f>IF(I$2=$E53,$D53,IF(I$2&gt;I$257,0,IF($C53=I$2,"PAGAR"&amp;" "&amp;TEXT($B53," #.##0,00"),IF($C53=-1,"PAGAR"&amp;" "&amp;TEXT($B53," #.##0,00"),0))))</f>
        <v>0</v>
      </c>
      <c r="J53" s="111">
        <f>+IF(J$2=$E53,$D53,IF(J$2&gt;J$257,0,IF($C53=J$2,"PAGAR"&amp;" "&amp;TEXT($B53," #.##0,00"),0)))</f>
        <v>0</v>
      </c>
      <c r="K53" s="111">
        <f>+IF(K$2=$E53,$D53,IF(K$2&gt;K$257,0,IF($C53=K$2,"PAGAR"&amp;" "&amp;TEXT($B53," #.##0,00"),0)))</f>
        <v>0</v>
      </c>
      <c r="L53" s="111">
        <f>+IF(L$2=$E53,$D53,IF(L$2&gt;L$257,0,IF($C53=L$2,"PAGAR"&amp;" "&amp;TEXT($B53," #.##0,00"),0)))</f>
        <v>0</v>
      </c>
      <c r="M53" s="111">
        <f>+IF(M$2=$E53,$D53,IF(M$2&gt;M$257,0,IF($C53=M$2,"PAGAR"&amp;" "&amp;TEXT($B53," #.##0,00"),0)))</f>
        <v>0</v>
      </c>
      <c r="N53" s="111">
        <f>+IF(N$2=$E53,$D53,IF(N$2&gt;N$257,0,IF($C53=N$2,"PAGAR"&amp;" "&amp;TEXT($B53," #.##0,00"),0)))</f>
        <v>0</v>
      </c>
      <c r="O53" s="111">
        <f>+IF(O$2=$E53,$D53,IF(O$2&gt;O$257,0,IF($C53=O$2,"PAGAR"&amp;" "&amp;TEXT($B53," #.##0,00"),0)))</f>
        <v>0</v>
      </c>
      <c r="P53" s="111">
        <f>+IF(P$2=$E53,$D53,IF(P$2&gt;P$257,0,IF($C53=P$2,"PAGAR"&amp;" "&amp;TEXT($B53," #.##0,00"),0)))</f>
        <v>0</v>
      </c>
      <c r="Q53" s="111">
        <f>+IF(Q$2=$E53,$D53,IF(Q$2&gt;Q$257,0,IF($C53=Q$2,"PAGAR"&amp;" "&amp;TEXT($B53," #.##0,00"),0)))</f>
        <v>0</v>
      </c>
      <c r="R53" s="111">
        <f>+IF(R$2=$E53,$D53,IF(R$2&gt;R$257,0,IF($C53=R$2,"PAGAR"&amp;" "&amp;TEXT($B53," #.##0,00"),0)))</f>
        <v>0</v>
      </c>
      <c r="S53" s="111">
        <f>+IF(S$2=$E53,$D53,IF(S$2&gt;S$257,0,IF($C53=S$2,"PAGAR"&amp;" "&amp;TEXT($B53," #.##0,00"),0)))</f>
        <v>0</v>
      </c>
      <c r="T53" s="111">
        <f>+IF(T$2=$E53,$D53,IF(T$2&gt;T$257,0,IF($C53=T$2,"PAGAR"&amp;" "&amp;TEXT($B53," #.##0,00"),0)))</f>
        <v>0</v>
      </c>
      <c r="U53" s="111">
        <f>+IF(U$2=$E53,$D53,IF(U$2&gt;U$257,0,IF($C53=U$2,"PAGAR"&amp;" "&amp;TEXT($B53," #.##0,00"),0)))</f>
        <v>0</v>
      </c>
      <c r="V53" s="111">
        <f>+IF(V$2=$E53,$D53,IF(V$2&gt;V$257,0,IF($C53=V$2,"PAGAR"&amp;" "&amp;TEXT($B53," #.##0,00"),0)))</f>
        <v>0</v>
      </c>
      <c r="W53" s="111">
        <f>+IF(W$2=$E53,$D53,IF(W$2&gt;W$257,0,IF($C53=W$2,"PAGAR"&amp;" "&amp;TEXT($B53," #.##0,00"),0)))</f>
        <v>0</v>
      </c>
      <c r="X53" s="111">
        <f>+IF(X$2=$E53,$D53,IF(X$2&gt;X$257,0,IF($C53=X$2,"PAGAR"&amp;" "&amp;TEXT($B53," #.##0,00"),0)))</f>
        <v>0</v>
      </c>
      <c r="Y53" s="111">
        <f>+IF(Y$2=$E53,$D53,IF(Y$2&gt;Y$257,0,IF($C53=Y$2,"PAGAR"&amp;" "&amp;TEXT($B53," #.##0,00"),0)))</f>
        <v>0</v>
      </c>
      <c r="Z53" s="111">
        <f>+IF(Z$2=$E53,$D53,IF(Z$2&gt;Z$257,0,IF($C53=Z$2,"PAGAR"&amp;" "&amp;TEXT($B53," #.##0,00"),0)))</f>
        <v>0</v>
      </c>
      <c r="AA53" s="111">
        <f>+IF(AA$2=$E53,$D53,IF(AA$2&gt;AA$257,0,IF($C53=AA$2,"PAGAR"&amp;" "&amp;TEXT($B53," #.##0,00"),0)))</f>
        <v>0</v>
      </c>
      <c r="AB53" s="111">
        <f>+IF(AB$2=$E53,$D53,IF(AB$2&gt;AB$257,0,IF($C53=AB$2,"PAGAR"&amp;" "&amp;TEXT($B53," #.##0,00"),0)))</f>
        <v>0</v>
      </c>
      <c r="AC53" s="111">
        <f>+IF(AC$2=$E53,$D53,IF(AC$2&gt;AC$257,0,IF($C53=AC$2,"PAGAR"&amp;" "&amp;TEXT($B53," #.##0,00"),0)))</f>
        <v>0</v>
      </c>
      <c r="AD53" s="111">
        <f>+IF(AD$2=$E53,$D53,IF(AD$2&gt;AD$257,0,IF($C53=AD$2,"PAGAR"&amp;" "&amp;TEXT($B53," #.##0,00"),0)))</f>
        <v>0</v>
      </c>
      <c r="AE53" s="111">
        <f>+IF(AE$2=$E53,$D53,IF(AE$2&gt;AE$257,0,IF($C53=AE$2,"PAGAR"&amp;" "&amp;TEXT($B53," #.##0,00"),0)))</f>
        <v>0</v>
      </c>
      <c r="AF53" s="111">
        <f>+IF(AF$2=$E53,$D53,IF(AF$2&gt;AF$257,0,IF($C53=AF$2,"PAGAR"&amp;" "&amp;TEXT($B53," #.##0,00"),0)))</f>
        <v>0</v>
      </c>
      <c r="AG53" s="111">
        <f>+IF(AG$2=$E53,$D53,IF(AG$2&gt;AG$257,0,IF($C53=AG$2,"PAGAR"&amp;" "&amp;TEXT($B53," #.##0,00"),0)))</f>
        <v>0</v>
      </c>
      <c r="AH53" s="111">
        <f>+IF(AH$2=$E53,$D53,IF(AH$2&gt;AH$257,0,IF($C53=AH$2,"PAGAR"&amp;" "&amp;TEXT($B53," #.##0,00"),0)))</f>
        <v>0</v>
      </c>
      <c r="AI53" s="111">
        <f>+IF(AI$2=$E53,$D53,IF(AI$2&gt;AI$257,0,IF($C53=AI$2,"PAGAR"&amp;" "&amp;TEXT($B53," #.##0,00"),0)))</f>
        <v>0</v>
      </c>
      <c r="AJ53" s="111">
        <f>+IF(AJ$2=$E53,$D53,IF(AJ$2&gt;AJ$257,0,IF($C53=AJ$2,"PAGAR"&amp;" "&amp;TEXT($B53," #.##0,00"),0)))</f>
        <v>0</v>
      </c>
      <c r="AK53" s="111">
        <f>+IF(AK$2=$E53,$D53,IF(AK$2&gt;AK$257,0,IF($C53=AK$2,"PAGAR"&amp;" "&amp;TEXT($B53," #.##0,00"),0)))</f>
        <v>0</v>
      </c>
      <c r="AL53" s="111">
        <f>+IF(AL$2=$E53,$D53,IF(AL$2&gt;AL$257,0,IF($C53=AL$2,"PAGAR"&amp;" "&amp;TEXT($B53," #.##0,00"),0)))</f>
        <v>0</v>
      </c>
      <c r="AM53" s="111">
        <f>+IF(AM$2=$E53,$D53,IF(AM$2&gt;AM$257,0,IF($C53=AM$2,"PAGAR"&amp;" "&amp;TEXT($B53," #.##0,00"),0)))</f>
        <v>0</v>
      </c>
      <c r="AN53" s="111">
        <f t="shared" ca="1" si="11"/>
        <v>0</v>
      </c>
      <c r="AO53" s="287">
        <f t="shared" si="12"/>
        <v>0</v>
      </c>
      <c r="AQ53" s="232"/>
      <c r="AR53" s="230"/>
      <c r="AS53" s="234"/>
      <c r="AT53" s="225"/>
      <c r="AU53" s="255"/>
      <c r="AV53" s="260"/>
      <c r="AW53" s="223"/>
      <c r="AX53" s="223"/>
      <c r="AY53" s="223"/>
      <c r="AZ53" s="224"/>
      <c r="BA53" s="224"/>
      <c r="BB53" s="224"/>
      <c r="BC53" s="224"/>
      <c r="BD53" s="224"/>
    </row>
    <row r="54" spans="1:56" x14ac:dyDescent="0.25">
      <c r="A54" s="212"/>
      <c r="B54" s="90"/>
      <c r="C54" s="91"/>
      <c r="D54" s="97"/>
      <c r="E54" s="166"/>
      <c r="F54" s="84">
        <f ca="1">+IF(TODAY()&lt;DATEVALUE(1&amp;D$1&amp;E$1),0,IF(C54&gt;0,IF(C54-SUM(I$255:AM$255)&lt;0,B54-SUM(I54:AM54,0),0),0))+IF(C54=-1,B54-SUM(J54:AM54))</f>
        <v>0</v>
      </c>
      <c r="G54" s="1" t="str">
        <f t="shared" si="10"/>
        <v>-</v>
      </c>
      <c r="H54" s="14"/>
      <c r="I54" s="111">
        <f>IF(I$2=$E54,$D54,IF(I$2&gt;I$257,0,IF($C54=I$2,"PAGAR"&amp;" "&amp;TEXT($B54," #.##0,00"),IF($C54=-1,"PAGAR"&amp;" "&amp;TEXT($B54," #.##0,00"),0))))</f>
        <v>0</v>
      </c>
      <c r="J54" s="111">
        <f>+IF(J$2=$E54,$D54,IF(J$2&gt;J$257,0,IF($C54=J$2,"PAGAR"&amp;" "&amp;TEXT($B54," #.##0,00"),0)))</f>
        <v>0</v>
      </c>
      <c r="K54" s="111">
        <f>+IF(K$2=$E54,$D54,IF(K$2&gt;K$257,0,IF($C54=K$2,"PAGAR"&amp;" "&amp;TEXT($B54," #.##0,00"),0)))</f>
        <v>0</v>
      </c>
      <c r="L54" s="111">
        <f>+IF(L$2=$E54,$D54,IF(L$2&gt;L$257,0,IF($C54=L$2,"PAGAR"&amp;" "&amp;TEXT($B54," #.##0,00"),0)))</f>
        <v>0</v>
      </c>
      <c r="M54" s="111">
        <f>+IF(M$2=$E54,$D54,IF(M$2&gt;M$257,0,IF($C54=M$2,"PAGAR"&amp;" "&amp;TEXT($B54," #.##0,00"),0)))</f>
        <v>0</v>
      </c>
      <c r="N54" s="111">
        <f>+IF(N$2=$E54,$D54,IF(N$2&gt;N$257,0,IF($C54=N$2,"PAGAR"&amp;" "&amp;TEXT($B54," #.##0,00"),0)))</f>
        <v>0</v>
      </c>
      <c r="O54" s="111">
        <f>+IF(O$2=$E54,$D54,IF(O$2&gt;O$257,0,IF($C54=O$2,"PAGAR"&amp;" "&amp;TEXT($B54," #.##0,00"),0)))</f>
        <v>0</v>
      </c>
      <c r="P54" s="111">
        <f>+IF(P$2=$E54,$D54,IF(P$2&gt;P$257,0,IF($C54=P$2,"PAGAR"&amp;" "&amp;TEXT($B54," #.##0,00"),0)))</f>
        <v>0</v>
      </c>
      <c r="Q54" s="111">
        <f>+IF(Q$2=$E54,$D54,IF(Q$2&gt;Q$257,0,IF($C54=Q$2,"PAGAR"&amp;" "&amp;TEXT($B54," #.##0,00"),0)))</f>
        <v>0</v>
      </c>
      <c r="R54" s="111">
        <f>+IF(R$2=$E54,$D54,IF(R$2&gt;R$257,0,IF($C54=R$2,"PAGAR"&amp;" "&amp;TEXT($B54," #.##0,00"),0)))</f>
        <v>0</v>
      </c>
      <c r="S54" s="111">
        <f>+IF(S$2=$E54,$D54,IF(S$2&gt;S$257,0,IF($C54=S$2,"PAGAR"&amp;" "&amp;TEXT($B54," #.##0,00"),0)))</f>
        <v>0</v>
      </c>
      <c r="T54" s="111">
        <f>+IF(T$2=$E54,$D54,IF(T$2&gt;T$257,0,IF($C54=T$2,"PAGAR"&amp;" "&amp;TEXT($B54," #.##0,00"),0)))</f>
        <v>0</v>
      </c>
      <c r="U54" s="111">
        <f>+IF(U$2=$E54,$D54,IF(U$2&gt;U$257,0,IF($C54=U$2,"PAGAR"&amp;" "&amp;TEXT($B54," #.##0,00"),0)))</f>
        <v>0</v>
      </c>
      <c r="V54" s="111">
        <f>+IF(V$2=$E54,$D54,IF(V$2&gt;V$257,0,IF($C54=V$2,"PAGAR"&amp;" "&amp;TEXT($B54," #.##0,00"),0)))</f>
        <v>0</v>
      </c>
      <c r="W54" s="111">
        <f>+IF(W$2=$E54,$D54,IF(W$2&gt;W$257,0,IF($C54=W$2,"PAGAR"&amp;" "&amp;TEXT($B54," #.##0,00"),0)))</f>
        <v>0</v>
      </c>
      <c r="X54" s="111">
        <f>+IF(X$2=$E54,$D54,IF(X$2&gt;X$257,0,IF($C54=X$2,"PAGAR"&amp;" "&amp;TEXT($B54," #.##0,00"),0)))</f>
        <v>0</v>
      </c>
      <c r="Y54" s="111">
        <f>+IF(Y$2=$E54,$D54,IF(Y$2&gt;Y$257,0,IF($C54=Y$2,"PAGAR"&amp;" "&amp;TEXT($B54," #.##0,00"),0)))</f>
        <v>0</v>
      </c>
      <c r="Z54" s="111">
        <f>+IF(Z$2=$E54,$D54,IF(Z$2&gt;Z$257,0,IF($C54=Z$2,"PAGAR"&amp;" "&amp;TEXT($B54," #.##0,00"),0)))</f>
        <v>0</v>
      </c>
      <c r="AA54" s="111">
        <f>+IF(AA$2=$E54,$D54,IF(AA$2&gt;AA$257,0,IF($C54=AA$2,"PAGAR"&amp;" "&amp;TEXT($B54," #.##0,00"),0)))</f>
        <v>0</v>
      </c>
      <c r="AB54" s="111">
        <f>+IF(AB$2=$E54,$D54,IF(AB$2&gt;AB$257,0,IF($C54=AB$2,"PAGAR"&amp;" "&amp;TEXT($B54," #.##0,00"),0)))</f>
        <v>0</v>
      </c>
      <c r="AC54" s="111">
        <f>+IF(AC$2=$E54,$D54,IF(AC$2&gt;AC$257,0,IF($C54=AC$2,"PAGAR"&amp;" "&amp;TEXT($B54," #.##0,00"),0)))</f>
        <v>0</v>
      </c>
      <c r="AD54" s="111">
        <f>+IF(AD$2=$E54,$D54,IF(AD$2&gt;AD$257,0,IF($C54=AD$2,"PAGAR"&amp;" "&amp;TEXT($B54," #.##0,00"),0)))</f>
        <v>0</v>
      </c>
      <c r="AE54" s="111">
        <f>+IF(AE$2=$E54,$D54,IF(AE$2&gt;AE$257,0,IF($C54=AE$2,"PAGAR"&amp;" "&amp;TEXT($B54," #.##0,00"),0)))</f>
        <v>0</v>
      </c>
      <c r="AF54" s="111">
        <f>+IF(AF$2=$E54,$D54,IF(AF$2&gt;AF$257,0,IF($C54=AF$2,"PAGAR"&amp;" "&amp;TEXT($B54," #.##0,00"),0)))</f>
        <v>0</v>
      </c>
      <c r="AG54" s="111">
        <f>+IF(AG$2=$E54,$D54,IF(AG$2&gt;AG$257,0,IF($C54=AG$2,"PAGAR"&amp;" "&amp;TEXT($B54," #.##0,00"),0)))</f>
        <v>0</v>
      </c>
      <c r="AH54" s="111">
        <f>+IF(AH$2=$E54,$D54,IF(AH$2&gt;AH$257,0,IF($C54=AH$2,"PAGAR"&amp;" "&amp;TEXT($B54," #.##0,00"),0)))</f>
        <v>0</v>
      </c>
      <c r="AI54" s="111">
        <f>+IF(AI$2=$E54,$D54,IF(AI$2&gt;AI$257,0,IF($C54=AI$2,"PAGAR"&amp;" "&amp;TEXT($B54," #.##0,00"),0)))</f>
        <v>0</v>
      </c>
      <c r="AJ54" s="111">
        <f>+IF(AJ$2=$E54,$D54,IF(AJ$2&gt;AJ$257,0,IF($C54=AJ$2,"PAGAR"&amp;" "&amp;TEXT($B54," #.##0,00"),0)))</f>
        <v>0</v>
      </c>
      <c r="AK54" s="111">
        <f>+IF(AK$2=$E54,$D54,IF(AK$2&gt;AK$257,0,IF($C54=AK$2,"PAGAR"&amp;" "&amp;TEXT($B54," #.##0,00"),0)))</f>
        <v>0</v>
      </c>
      <c r="AL54" s="111">
        <f>+IF(AL$2=$E54,$D54,IF(AL$2&gt;AL$257,0,IF($C54=AL$2,"PAGAR"&amp;" "&amp;TEXT($B54," #.##0,00"),0)))</f>
        <v>0</v>
      </c>
      <c r="AM54" s="111">
        <f>+IF(AM$2=$E54,$D54,IF(AM$2&gt;AM$257,0,IF($C54=AM$2,"PAGAR"&amp;" "&amp;TEXT($B54," #.##0,00"),0)))</f>
        <v>0</v>
      </c>
      <c r="AN54" s="111">
        <f t="shared" ca="1" si="11"/>
        <v>0</v>
      </c>
      <c r="AO54" s="287">
        <f t="shared" si="12"/>
        <v>0</v>
      </c>
      <c r="AQ54" s="250"/>
      <c r="AR54" s="251"/>
      <c r="AS54" s="245"/>
      <c r="AT54" s="246"/>
      <c r="AU54" s="256"/>
      <c r="AV54" s="261"/>
      <c r="AW54" s="223"/>
      <c r="AX54" s="223"/>
      <c r="AY54" s="223"/>
      <c r="AZ54" s="224"/>
      <c r="BA54" s="224"/>
      <c r="BB54" s="224"/>
      <c r="BC54" s="224"/>
      <c r="BD54" s="224"/>
    </row>
    <row r="55" spans="1:56" x14ac:dyDescent="0.25">
      <c r="A55" s="212"/>
      <c r="B55" s="90"/>
      <c r="C55" s="91"/>
      <c r="D55" s="97"/>
      <c r="E55" s="166"/>
      <c r="F55" s="84">
        <f ca="1">+IF(TODAY()&lt;DATEVALUE(1&amp;D$1&amp;E$1),0,IF(C55&gt;0,IF(C55-SUM(I$255:AM$255)&lt;0,B55-SUM(I55:AM55,0),0),0))+IF(C55=-1,B55-SUM(J55:AM55))</f>
        <v>0</v>
      </c>
      <c r="G55" s="1" t="str">
        <f t="shared" si="10"/>
        <v>-</v>
      </c>
      <c r="H55" s="14"/>
      <c r="I55" s="111">
        <f>IF(I$2=$E55,$D55,IF(I$2&gt;I$257,0,IF($C55=I$2,"PAGAR"&amp;" "&amp;TEXT($B55," #.##0,00"),IF($C55=-1,"PAGAR"&amp;" "&amp;TEXT($B55," #.##0,00"),0))))</f>
        <v>0</v>
      </c>
      <c r="J55" s="111">
        <f>+IF(J$2=$E55,$D55,IF(J$2&gt;J$257,0,IF($C55=J$2,"PAGAR"&amp;" "&amp;TEXT($B55," #.##0,00"),0)))</f>
        <v>0</v>
      </c>
      <c r="K55" s="111">
        <f>+IF(K$2=$E55,$D55,IF(K$2&gt;K$257,0,IF($C55=K$2,"PAGAR"&amp;" "&amp;TEXT($B55," #.##0,00"),0)))</f>
        <v>0</v>
      </c>
      <c r="L55" s="111">
        <f>+IF(L$2=$E55,$D55,IF(L$2&gt;L$257,0,IF($C55=L$2,"PAGAR"&amp;" "&amp;TEXT($B55," #.##0,00"),0)))</f>
        <v>0</v>
      </c>
      <c r="M55" s="111">
        <f>+IF(M$2=$E55,$D55,IF(M$2&gt;M$257,0,IF($C55=M$2,"PAGAR"&amp;" "&amp;TEXT($B55," #.##0,00"),0)))</f>
        <v>0</v>
      </c>
      <c r="N55" s="111">
        <f>+IF(N$2=$E55,$D55,IF(N$2&gt;N$257,0,IF($C55=N$2,"PAGAR"&amp;" "&amp;TEXT($B55," #.##0,00"),0)))</f>
        <v>0</v>
      </c>
      <c r="O55" s="111">
        <f>+IF(O$2=$E55,$D55,IF(O$2&gt;O$257,0,IF($C55=O$2,"PAGAR"&amp;" "&amp;TEXT($B55," #.##0,00"),0)))</f>
        <v>0</v>
      </c>
      <c r="P55" s="111">
        <f>+IF(P$2=$E55,$D55,IF(P$2&gt;P$257,0,IF($C55=P$2,"PAGAR"&amp;" "&amp;TEXT($B55," #.##0,00"),0)))</f>
        <v>0</v>
      </c>
      <c r="Q55" s="111">
        <f>+IF(Q$2=$E55,$D55,IF(Q$2&gt;Q$257,0,IF($C55=Q$2,"PAGAR"&amp;" "&amp;TEXT($B55," #.##0,00"),0)))</f>
        <v>0</v>
      </c>
      <c r="R55" s="111">
        <f>+IF(R$2=$E55,$D55,IF(R$2&gt;R$257,0,IF($C55=R$2,"PAGAR"&amp;" "&amp;TEXT($B55," #.##0,00"),0)))</f>
        <v>0</v>
      </c>
      <c r="S55" s="111">
        <f>+IF(S$2=$E55,$D55,IF(S$2&gt;S$257,0,IF($C55=S$2,"PAGAR"&amp;" "&amp;TEXT($B55," #.##0,00"),0)))</f>
        <v>0</v>
      </c>
      <c r="T55" s="111">
        <f>+IF(T$2=$E55,$D55,IF(T$2&gt;T$257,0,IF($C55=T$2,"PAGAR"&amp;" "&amp;TEXT($B55," #.##0,00"),0)))</f>
        <v>0</v>
      </c>
      <c r="U55" s="111">
        <f>+IF(U$2=$E55,$D55,IF(U$2&gt;U$257,0,IF($C55=U$2,"PAGAR"&amp;" "&amp;TEXT($B55," #.##0,00"),0)))</f>
        <v>0</v>
      </c>
      <c r="V55" s="111">
        <f>+IF(V$2=$E55,$D55,IF(V$2&gt;V$257,0,IF($C55=V$2,"PAGAR"&amp;" "&amp;TEXT($B55," #.##0,00"),0)))</f>
        <v>0</v>
      </c>
      <c r="W55" s="111">
        <f>+IF(W$2=$E55,$D55,IF(W$2&gt;W$257,0,IF($C55=W$2,"PAGAR"&amp;" "&amp;TEXT($B55," #.##0,00"),0)))</f>
        <v>0</v>
      </c>
      <c r="X55" s="111">
        <f>+IF(X$2=$E55,$D55,IF(X$2&gt;X$257,0,IF($C55=X$2,"PAGAR"&amp;" "&amp;TEXT($B55," #.##0,00"),0)))</f>
        <v>0</v>
      </c>
      <c r="Y55" s="111">
        <f>+IF(Y$2=$E55,$D55,IF(Y$2&gt;Y$257,0,IF($C55=Y$2,"PAGAR"&amp;" "&amp;TEXT($B55," #.##0,00"),0)))</f>
        <v>0</v>
      </c>
      <c r="Z55" s="111">
        <f>+IF(Z$2=$E55,$D55,IF(Z$2&gt;Z$257,0,IF($C55=Z$2,"PAGAR"&amp;" "&amp;TEXT($B55," #.##0,00"),0)))</f>
        <v>0</v>
      </c>
      <c r="AA55" s="111">
        <f>+IF(AA$2=$E55,$D55,IF(AA$2&gt;AA$257,0,IF($C55=AA$2,"PAGAR"&amp;" "&amp;TEXT($B55," #.##0,00"),0)))</f>
        <v>0</v>
      </c>
      <c r="AB55" s="111">
        <f>+IF(AB$2=$E55,$D55,IF(AB$2&gt;AB$257,0,IF($C55=AB$2,"PAGAR"&amp;" "&amp;TEXT($B55," #.##0,00"),0)))</f>
        <v>0</v>
      </c>
      <c r="AC55" s="111">
        <f>+IF(AC$2=$E55,$D55,IF(AC$2&gt;AC$257,0,IF($C55=AC$2,"PAGAR"&amp;" "&amp;TEXT($B55," #.##0,00"),0)))</f>
        <v>0</v>
      </c>
      <c r="AD55" s="111">
        <f>+IF(AD$2=$E55,$D55,IF(AD$2&gt;AD$257,0,IF($C55=AD$2,"PAGAR"&amp;" "&amp;TEXT($B55," #.##0,00"),0)))</f>
        <v>0</v>
      </c>
      <c r="AE55" s="111">
        <f>+IF(AE$2=$E55,$D55,IF(AE$2&gt;AE$257,0,IF($C55=AE$2,"PAGAR"&amp;" "&amp;TEXT($B55," #.##0,00"),0)))</f>
        <v>0</v>
      </c>
      <c r="AF55" s="111">
        <f>+IF(AF$2=$E55,$D55,IF(AF$2&gt;AF$257,0,IF($C55=AF$2,"PAGAR"&amp;" "&amp;TEXT($B55," #.##0,00"),0)))</f>
        <v>0</v>
      </c>
      <c r="AG55" s="111">
        <f>+IF(AG$2=$E55,$D55,IF(AG$2&gt;AG$257,0,IF($C55=AG$2,"PAGAR"&amp;" "&amp;TEXT($B55," #.##0,00"),0)))</f>
        <v>0</v>
      </c>
      <c r="AH55" s="111">
        <f>+IF(AH$2=$E55,$D55,IF(AH$2&gt;AH$257,0,IF($C55=AH$2,"PAGAR"&amp;" "&amp;TEXT($B55," #.##0,00"),0)))</f>
        <v>0</v>
      </c>
      <c r="AI55" s="111">
        <f>+IF(AI$2=$E55,$D55,IF(AI$2&gt;AI$257,0,IF($C55=AI$2,"PAGAR"&amp;" "&amp;TEXT($B55," #.##0,00"),0)))</f>
        <v>0</v>
      </c>
      <c r="AJ55" s="111">
        <f>+IF(AJ$2=$E55,$D55,IF(AJ$2&gt;AJ$257,0,IF($C55=AJ$2,"PAGAR"&amp;" "&amp;TEXT($B55," #.##0,00"),0)))</f>
        <v>0</v>
      </c>
      <c r="AK55" s="111">
        <f>+IF(AK$2=$E55,$D55,IF(AK$2&gt;AK$257,0,IF($C55=AK$2,"PAGAR"&amp;" "&amp;TEXT($B55," #.##0,00"),0)))</f>
        <v>0</v>
      </c>
      <c r="AL55" s="111">
        <f>+IF(AL$2=$E55,$D55,IF(AL$2&gt;AL$257,0,IF($C55=AL$2,"PAGAR"&amp;" "&amp;TEXT($B55," #.##0,00"),0)))</f>
        <v>0</v>
      </c>
      <c r="AM55" s="111">
        <f>+IF(AM$2=$E55,$D55,IF(AM$2&gt;AM$257,0,IF($C55=AM$2,"PAGAR"&amp;" "&amp;TEXT($B55," #.##0,00"),0)))</f>
        <v>0</v>
      </c>
      <c r="AN55" s="111">
        <f t="shared" ca="1" si="11"/>
        <v>0</v>
      </c>
      <c r="AO55" s="287">
        <f t="shared" si="12"/>
        <v>0</v>
      </c>
      <c r="AQ55" s="232"/>
      <c r="AR55" s="230"/>
      <c r="AS55" s="234"/>
      <c r="AT55" s="225"/>
      <c r="AU55" s="255"/>
      <c r="AV55" s="260"/>
      <c r="AW55" s="223"/>
      <c r="AX55" s="223"/>
      <c r="AY55" s="223"/>
      <c r="AZ55" s="224"/>
      <c r="BA55" s="224"/>
      <c r="BB55" s="224"/>
      <c r="BC55" s="224"/>
      <c r="BD55" s="224"/>
    </row>
    <row r="56" spans="1:56" x14ac:dyDescent="0.25">
      <c r="A56" s="212"/>
      <c r="B56" s="90"/>
      <c r="C56" s="91"/>
      <c r="D56" s="97"/>
      <c r="E56" s="166"/>
      <c r="F56" s="84">
        <f ca="1">+IF(TODAY()&lt;DATEVALUE(1&amp;D$1&amp;E$1),0,IF(C56&gt;0,IF(C56-SUM(I$255:AM$255)&lt;0,B56-SUM(I56:AM56,0),0),0))+IF(C56=-1,B56-SUM(J56:AM56))</f>
        <v>0</v>
      </c>
      <c r="G56" s="1" t="str">
        <f t="shared" si="10"/>
        <v>-</v>
      </c>
      <c r="H56" s="14"/>
      <c r="I56" s="111">
        <f>IF(I$2=$E56,$D56,IF(I$2&gt;I$257,0,IF($C56=I$2,"PAGAR"&amp;" "&amp;TEXT($B56," #.##0,00"),IF($C56=-1,"PAGAR"&amp;" "&amp;TEXT($B56," #.##0,00"),0))))</f>
        <v>0</v>
      </c>
      <c r="J56" s="111">
        <f>+IF(J$2=$E56,$D56,IF(J$2&gt;J$257,0,IF($C56=J$2,"PAGAR"&amp;" "&amp;TEXT($B56," #.##0,00"),0)))</f>
        <v>0</v>
      </c>
      <c r="K56" s="111">
        <f>+IF(K$2=$E56,$D56,IF(K$2&gt;K$257,0,IF($C56=K$2,"PAGAR"&amp;" "&amp;TEXT($B56," #.##0,00"),0)))</f>
        <v>0</v>
      </c>
      <c r="L56" s="111">
        <f>+IF(L$2=$E56,$D56,IF(L$2&gt;L$257,0,IF($C56=L$2,"PAGAR"&amp;" "&amp;TEXT($B56," #.##0,00"),0)))</f>
        <v>0</v>
      </c>
      <c r="M56" s="111">
        <f>+IF(M$2=$E56,$D56,IF(M$2&gt;M$257,0,IF($C56=M$2,"PAGAR"&amp;" "&amp;TEXT($B56," #.##0,00"),0)))</f>
        <v>0</v>
      </c>
      <c r="N56" s="111">
        <f>+IF(N$2=$E56,$D56,IF(N$2&gt;N$257,0,IF($C56=N$2,"PAGAR"&amp;" "&amp;TEXT($B56," #.##0,00"),0)))</f>
        <v>0</v>
      </c>
      <c r="O56" s="111">
        <f>+IF(O$2=$E56,$D56,IF(O$2&gt;O$257,0,IF($C56=O$2,"PAGAR"&amp;" "&amp;TEXT($B56," #.##0,00"),0)))</f>
        <v>0</v>
      </c>
      <c r="P56" s="111">
        <f>+IF(P$2=$E56,$D56,IF(P$2&gt;P$257,0,IF($C56=P$2,"PAGAR"&amp;" "&amp;TEXT($B56," #.##0,00"),0)))</f>
        <v>0</v>
      </c>
      <c r="Q56" s="111">
        <f>+IF(Q$2=$E56,$D56,IF(Q$2&gt;Q$257,0,IF($C56=Q$2,"PAGAR"&amp;" "&amp;TEXT($B56," #.##0,00"),0)))</f>
        <v>0</v>
      </c>
      <c r="R56" s="111">
        <f>+IF(R$2=$E56,$D56,IF(R$2&gt;R$257,0,IF($C56=R$2,"PAGAR"&amp;" "&amp;TEXT($B56," #.##0,00"),0)))</f>
        <v>0</v>
      </c>
      <c r="S56" s="111">
        <f>+IF(S$2=$E56,$D56,IF(S$2&gt;S$257,0,IF($C56=S$2,"PAGAR"&amp;" "&amp;TEXT($B56," #.##0,00"),0)))</f>
        <v>0</v>
      </c>
      <c r="T56" s="111">
        <f>+IF(T$2=$E56,$D56,IF(T$2&gt;T$257,0,IF($C56=T$2,"PAGAR"&amp;" "&amp;TEXT($B56," #.##0,00"),0)))</f>
        <v>0</v>
      </c>
      <c r="U56" s="111">
        <f>+IF(U$2=$E56,$D56,IF(U$2&gt;U$257,0,IF($C56=U$2,"PAGAR"&amp;" "&amp;TEXT($B56," #.##0,00"),0)))</f>
        <v>0</v>
      </c>
      <c r="V56" s="111">
        <f>+IF(V$2=$E56,$D56,IF(V$2&gt;V$257,0,IF($C56=V$2,"PAGAR"&amp;" "&amp;TEXT($B56," #.##0,00"),0)))</f>
        <v>0</v>
      </c>
      <c r="W56" s="111">
        <f>+IF(W$2=$E56,$D56,IF(W$2&gt;W$257,0,IF($C56=W$2,"PAGAR"&amp;" "&amp;TEXT($B56," #.##0,00"),0)))</f>
        <v>0</v>
      </c>
      <c r="X56" s="111">
        <f>+IF(X$2=$E56,$D56,IF(X$2&gt;X$257,0,IF($C56=X$2,"PAGAR"&amp;" "&amp;TEXT($B56," #.##0,00"),0)))</f>
        <v>0</v>
      </c>
      <c r="Y56" s="111">
        <f>+IF(Y$2=$E56,$D56,IF(Y$2&gt;Y$257,0,IF($C56=Y$2,"PAGAR"&amp;" "&amp;TEXT($B56," #.##0,00"),0)))</f>
        <v>0</v>
      </c>
      <c r="Z56" s="111">
        <f>+IF(Z$2=$E56,$D56,IF(Z$2&gt;Z$257,0,IF($C56=Z$2,"PAGAR"&amp;" "&amp;TEXT($B56," #.##0,00"),0)))</f>
        <v>0</v>
      </c>
      <c r="AA56" s="111">
        <f>+IF(AA$2=$E56,$D56,IF(AA$2&gt;AA$257,0,IF($C56=AA$2,"PAGAR"&amp;" "&amp;TEXT($B56," #.##0,00"),0)))</f>
        <v>0</v>
      </c>
      <c r="AB56" s="111">
        <f>+IF(AB$2=$E56,$D56,IF(AB$2&gt;AB$257,0,IF($C56=AB$2,"PAGAR"&amp;" "&amp;TEXT($B56," #.##0,00"),0)))</f>
        <v>0</v>
      </c>
      <c r="AC56" s="111">
        <f>+IF(AC$2=$E56,$D56,IF(AC$2&gt;AC$257,0,IF($C56=AC$2,"PAGAR"&amp;" "&amp;TEXT($B56," #.##0,00"),0)))</f>
        <v>0</v>
      </c>
      <c r="AD56" s="111">
        <f>+IF(AD$2=$E56,$D56,IF(AD$2&gt;AD$257,0,IF($C56=AD$2,"PAGAR"&amp;" "&amp;TEXT($B56," #.##0,00"),0)))</f>
        <v>0</v>
      </c>
      <c r="AE56" s="111">
        <f>+IF(AE$2=$E56,$D56,IF(AE$2&gt;AE$257,0,IF($C56=AE$2,"PAGAR"&amp;" "&amp;TEXT($B56," #.##0,00"),0)))</f>
        <v>0</v>
      </c>
      <c r="AF56" s="111">
        <f>+IF(AF$2=$E56,$D56,IF(AF$2&gt;AF$257,0,IF($C56=AF$2,"PAGAR"&amp;" "&amp;TEXT($B56," #.##0,00"),0)))</f>
        <v>0</v>
      </c>
      <c r="AG56" s="111">
        <f>+IF(AG$2=$E56,$D56,IF(AG$2&gt;AG$257,0,IF($C56=AG$2,"PAGAR"&amp;" "&amp;TEXT($B56," #.##0,00"),0)))</f>
        <v>0</v>
      </c>
      <c r="AH56" s="111">
        <f>+IF(AH$2=$E56,$D56,IF(AH$2&gt;AH$257,0,IF($C56=AH$2,"PAGAR"&amp;" "&amp;TEXT($B56," #.##0,00"),0)))</f>
        <v>0</v>
      </c>
      <c r="AI56" s="111">
        <f>+IF(AI$2=$E56,$D56,IF(AI$2&gt;AI$257,0,IF($C56=AI$2,"PAGAR"&amp;" "&amp;TEXT($B56," #.##0,00"),0)))</f>
        <v>0</v>
      </c>
      <c r="AJ56" s="111">
        <f>+IF(AJ$2=$E56,$D56,IF(AJ$2&gt;AJ$257,0,IF($C56=AJ$2,"PAGAR"&amp;" "&amp;TEXT($B56," #.##0,00"),0)))</f>
        <v>0</v>
      </c>
      <c r="AK56" s="111">
        <f>+IF(AK$2=$E56,$D56,IF(AK$2&gt;AK$257,0,IF($C56=AK$2,"PAGAR"&amp;" "&amp;TEXT($B56," #.##0,00"),0)))</f>
        <v>0</v>
      </c>
      <c r="AL56" s="111">
        <f>+IF(AL$2=$E56,$D56,IF(AL$2&gt;AL$257,0,IF($C56=AL$2,"PAGAR"&amp;" "&amp;TEXT($B56," #.##0,00"),0)))</f>
        <v>0</v>
      </c>
      <c r="AM56" s="111">
        <f>+IF(AM$2=$E56,$D56,IF(AM$2&gt;AM$257,0,IF($C56=AM$2,"PAGAR"&amp;" "&amp;TEXT($B56," #.##0,00"),0)))</f>
        <v>0</v>
      </c>
      <c r="AN56" s="111">
        <f t="shared" ca="1" si="11"/>
        <v>0</v>
      </c>
      <c r="AO56" s="287">
        <f t="shared" si="12"/>
        <v>0</v>
      </c>
      <c r="AQ56" s="253"/>
      <c r="AR56" s="254"/>
      <c r="AS56" s="242"/>
      <c r="AT56" s="243"/>
      <c r="AU56" s="257"/>
      <c r="AV56" s="262"/>
      <c r="AW56" s="223"/>
      <c r="AX56" s="223"/>
      <c r="AY56" s="223"/>
      <c r="AZ56" s="224"/>
      <c r="BA56" s="224"/>
      <c r="BB56" s="224"/>
      <c r="BC56" s="224"/>
      <c r="BD56" s="224"/>
    </row>
    <row r="57" spans="1:56" x14ac:dyDescent="0.25">
      <c r="A57" s="212"/>
      <c r="B57" s="90"/>
      <c r="C57" s="91"/>
      <c r="D57" s="97"/>
      <c r="E57" s="166"/>
      <c r="F57" s="84">
        <f ca="1">+IF(TODAY()&lt;DATEVALUE(1&amp;D$1&amp;E$1),0,IF(C57&gt;0,IF(C57-SUM(I$255:AM$255)&lt;0,B57-SUM(I57:AM57,0),0),0))+IF(C57=-1,B57-SUM(J57:AM57))</f>
        <v>0</v>
      </c>
      <c r="G57" s="1" t="str">
        <f t="shared" si="10"/>
        <v>-</v>
      </c>
      <c r="H57" s="14"/>
      <c r="I57" s="111">
        <f>IF(I$2=$E57,$D57,IF(I$2&gt;I$257,0,IF($C57=I$2,"PAGAR"&amp;" "&amp;TEXT($B57," #.##0,00"),IF($C57=-1,"PAGAR"&amp;" "&amp;TEXT($B57," #.##0,00"),0))))</f>
        <v>0</v>
      </c>
      <c r="J57" s="111">
        <f>+IF(J$2=$E57,$D57,IF(J$2&gt;J$257,0,IF($C57=J$2,"PAGAR"&amp;" "&amp;TEXT($B57," #.##0,00"),0)))</f>
        <v>0</v>
      </c>
      <c r="K57" s="111">
        <f>+IF(K$2=$E57,$D57,IF(K$2&gt;K$257,0,IF($C57=K$2,"PAGAR"&amp;" "&amp;TEXT($B57," #.##0,00"),0)))</f>
        <v>0</v>
      </c>
      <c r="L57" s="111">
        <f>+IF(L$2=$E57,$D57,IF(L$2&gt;L$257,0,IF($C57=L$2,"PAGAR"&amp;" "&amp;TEXT($B57," #.##0,00"),0)))</f>
        <v>0</v>
      </c>
      <c r="M57" s="111">
        <f>+IF(M$2=$E57,$D57,IF(M$2&gt;M$257,0,IF($C57=M$2,"PAGAR"&amp;" "&amp;TEXT($B57," #.##0,00"),0)))</f>
        <v>0</v>
      </c>
      <c r="N57" s="111">
        <f>+IF(N$2=$E57,$D57,IF(N$2&gt;N$257,0,IF($C57=N$2,"PAGAR"&amp;" "&amp;TEXT($B57," #.##0,00"),0)))</f>
        <v>0</v>
      </c>
      <c r="O57" s="111">
        <f>+IF(O$2=$E57,$D57,IF(O$2&gt;O$257,0,IF($C57=O$2,"PAGAR"&amp;" "&amp;TEXT($B57," #.##0,00"),0)))</f>
        <v>0</v>
      </c>
      <c r="P57" s="111">
        <f>+IF(P$2=$E57,$D57,IF(P$2&gt;P$257,0,IF($C57=P$2,"PAGAR"&amp;" "&amp;TEXT($B57," #.##0,00"),0)))</f>
        <v>0</v>
      </c>
      <c r="Q57" s="111">
        <f>+IF(Q$2=$E57,$D57,IF(Q$2&gt;Q$257,0,IF($C57=Q$2,"PAGAR"&amp;" "&amp;TEXT($B57," #.##0,00"),0)))</f>
        <v>0</v>
      </c>
      <c r="R57" s="111">
        <f>+IF(R$2=$E57,$D57,IF(R$2&gt;R$257,0,IF($C57=R$2,"PAGAR"&amp;" "&amp;TEXT($B57," #.##0,00"),0)))</f>
        <v>0</v>
      </c>
      <c r="S57" s="111">
        <f>+IF(S$2=$E57,$D57,IF(S$2&gt;S$257,0,IF($C57=S$2,"PAGAR"&amp;" "&amp;TEXT($B57," #.##0,00"),0)))</f>
        <v>0</v>
      </c>
      <c r="T57" s="111">
        <f>+IF(T$2=$E57,$D57,IF(T$2&gt;T$257,0,IF($C57=T$2,"PAGAR"&amp;" "&amp;TEXT($B57," #.##0,00"),0)))</f>
        <v>0</v>
      </c>
      <c r="U57" s="111">
        <f>+IF(U$2=$E57,$D57,IF(U$2&gt;U$257,0,IF($C57=U$2,"PAGAR"&amp;" "&amp;TEXT($B57," #.##0,00"),0)))</f>
        <v>0</v>
      </c>
      <c r="V57" s="111">
        <f>+IF(V$2=$E57,$D57,IF(V$2&gt;V$257,0,IF($C57=V$2,"PAGAR"&amp;" "&amp;TEXT($B57," #.##0,00"),0)))</f>
        <v>0</v>
      </c>
      <c r="W57" s="111">
        <f>+IF(W$2=$E57,$D57,IF(W$2&gt;W$257,0,IF($C57=W$2,"PAGAR"&amp;" "&amp;TEXT($B57," #.##0,00"),0)))</f>
        <v>0</v>
      </c>
      <c r="X57" s="111">
        <f>+IF(X$2=$E57,$D57,IF(X$2&gt;X$257,0,IF($C57=X$2,"PAGAR"&amp;" "&amp;TEXT($B57," #.##0,00"),0)))</f>
        <v>0</v>
      </c>
      <c r="Y57" s="111">
        <f>+IF(Y$2=$E57,$D57,IF(Y$2&gt;Y$257,0,IF($C57=Y$2,"PAGAR"&amp;" "&amp;TEXT($B57," #.##0,00"),0)))</f>
        <v>0</v>
      </c>
      <c r="Z57" s="111">
        <f>+IF(Z$2=$E57,$D57,IF(Z$2&gt;Z$257,0,IF($C57=Z$2,"PAGAR"&amp;" "&amp;TEXT($B57," #.##0,00"),0)))</f>
        <v>0</v>
      </c>
      <c r="AA57" s="111">
        <f>+IF(AA$2=$E57,$D57,IF(AA$2&gt;AA$257,0,IF($C57=AA$2,"PAGAR"&amp;" "&amp;TEXT($B57," #.##0,00"),0)))</f>
        <v>0</v>
      </c>
      <c r="AB57" s="111">
        <f>+IF(AB$2=$E57,$D57,IF(AB$2&gt;AB$257,0,IF($C57=AB$2,"PAGAR"&amp;" "&amp;TEXT($B57," #.##0,00"),0)))</f>
        <v>0</v>
      </c>
      <c r="AC57" s="111">
        <f>+IF(AC$2=$E57,$D57,IF(AC$2&gt;AC$257,0,IF($C57=AC$2,"PAGAR"&amp;" "&amp;TEXT($B57," #.##0,00"),0)))</f>
        <v>0</v>
      </c>
      <c r="AD57" s="111">
        <f>+IF(AD$2=$E57,$D57,IF(AD$2&gt;AD$257,0,IF($C57=AD$2,"PAGAR"&amp;" "&amp;TEXT($B57," #.##0,00"),0)))</f>
        <v>0</v>
      </c>
      <c r="AE57" s="111">
        <f>+IF(AE$2=$E57,$D57,IF(AE$2&gt;AE$257,0,IF($C57=AE$2,"PAGAR"&amp;" "&amp;TEXT($B57," #.##0,00"),0)))</f>
        <v>0</v>
      </c>
      <c r="AF57" s="111">
        <f>+IF(AF$2=$E57,$D57,IF(AF$2&gt;AF$257,0,IF($C57=AF$2,"PAGAR"&amp;" "&amp;TEXT($B57," #.##0,00"),0)))</f>
        <v>0</v>
      </c>
      <c r="AG57" s="111">
        <f>+IF(AG$2=$E57,$D57,IF(AG$2&gt;AG$257,0,IF($C57=AG$2,"PAGAR"&amp;" "&amp;TEXT($B57," #.##0,00"),0)))</f>
        <v>0</v>
      </c>
      <c r="AH57" s="111">
        <f>+IF(AH$2=$E57,$D57,IF(AH$2&gt;AH$257,0,IF($C57=AH$2,"PAGAR"&amp;" "&amp;TEXT($B57," #.##0,00"),0)))</f>
        <v>0</v>
      </c>
      <c r="AI57" s="111">
        <f>+IF(AI$2=$E57,$D57,IF(AI$2&gt;AI$257,0,IF($C57=AI$2,"PAGAR"&amp;" "&amp;TEXT($B57," #.##0,00"),0)))</f>
        <v>0</v>
      </c>
      <c r="AJ57" s="111">
        <f>+IF(AJ$2=$E57,$D57,IF(AJ$2&gt;AJ$257,0,IF($C57=AJ$2,"PAGAR"&amp;" "&amp;TEXT($B57," #.##0,00"),0)))</f>
        <v>0</v>
      </c>
      <c r="AK57" s="111">
        <f>+IF(AK$2=$E57,$D57,IF(AK$2&gt;AK$257,0,IF($C57=AK$2,"PAGAR"&amp;" "&amp;TEXT($B57," #.##0,00"),0)))</f>
        <v>0</v>
      </c>
      <c r="AL57" s="111">
        <f>+IF(AL$2=$E57,$D57,IF(AL$2&gt;AL$257,0,IF($C57=AL$2,"PAGAR"&amp;" "&amp;TEXT($B57," #.##0,00"),0)))</f>
        <v>0</v>
      </c>
      <c r="AM57" s="111">
        <f>+IF(AM$2=$E57,$D57,IF(AM$2&gt;AM$257,0,IF($C57=AM$2,"PAGAR"&amp;" "&amp;TEXT($B57," #.##0,00"),0)))</f>
        <v>0</v>
      </c>
      <c r="AN57" s="111">
        <f t="shared" ca="1" si="11"/>
        <v>0</v>
      </c>
      <c r="AO57" s="287">
        <f t="shared" si="12"/>
        <v>0</v>
      </c>
      <c r="AQ57" s="237"/>
      <c r="AR57" s="238"/>
      <c r="AS57" s="239"/>
      <c r="AT57" s="240"/>
      <c r="AU57" s="258"/>
      <c r="AV57" s="263"/>
      <c r="AW57" s="223"/>
      <c r="AX57" s="223"/>
      <c r="AY57" s="223"/>
      <c r="AZ57" s="224"/>
      <c r="BA57" s="224"/>
      <c r="BB57" s="224"/>
      <c r="BC57" s="224"/>
      <c r="BD57" s="224"/>
    </row>
    <row r="58" spans="1:56" ht="15.75" thickBot="1" x14ac:dyDescent="0.3">
      <c r="A58" s="212"/>
      <c r="B58" s="90"/>
      <c r="C58" s="91"/>
      <c r="D58" s="97"/>
      <c r="E58" s="166"/>
      <c r="F58" s="84">
        <f ca="1">+IF(TODAY()&lt;DATEVALUE(1&amp;D$1&amp;E$1),0,IF(C58&gt;0,IF(C58-SUM(I$255:AM$255)&lt;0,B58-SUM(I58:AM58,0),0),0))+IF(C58=-1,B58-SUM(J58:AM58))</f>
        <v>0</v>
      </c>
      <c r="G58" s="1" t="str">
        <f t="shared" si="10"/>
        <v>-</v>
      </c>
      <c r="H58" s="14"/>
      <c r="I58" s="111">
        <f>IF(I$2=$E58,$D58,IF(I$2&gt;I$257,0,IF($C58=I$2,"PAGAR"&amp;" "&amp;TEXT($B58," #.##0,00"),IF($C58=-1,"PAGAR"&amp;" "&amp;TEXT($B58," #.##0,00"),0))))</f>
        <v>0</v>
      </c>
      <c r="J58" s="111">
        <f>+IF(J$2=$E58,$D58,IF(J$2&gt;J$257,0,IF($C58=J$2,"PAGAR"&amp;" "&amp;TEXT($B58," #.##0,00"),0)))</f>
        <v>0</v>
      </c>
      <c r="K58" s="111">
        <f>+IF(K$2=$E58,$D58,IF(K$2&gt;K$257,0,IF($C58=K$2,"PAGAR"&amp;" "&amp;TEXT($B58," #.##0,00"),0)))</f>
        <v>0</v>
      </c>
      <c r="L58" s="111">
        <f>+IF(L$2=$E58,$D58,IF(L$2&gt;L$257,0,IF($C58=L$2,"PAGAR"&amp;" "&amp;TEXT($B58," #.##0,00"),0)))</f>
        <v>0</v>
      </c>
      <c r="M58" s="111">
        <f>+IF(M$2=$E58,$D58,IF(M$2&gt;M$257,0,IF($C58=M$2,"PAGAR"&amp;" "&amp;TEXT($B58," #.##0,00"),0)))</f>
        <v>0</v>
      </c>
      <c r="N58" s="111">
        <f>+IF(N$2=$E58,$D58,IF(N$2&gt;N$257,0,IF($C58=N$2,"PAGAR"&amp;" "&amp;TEXT($B58," #.##0,00"),0)))</f>
        <v>0</v>
      </c>
      <c r="O58" s="111">
        <f>+IF(O$2=$E58,$D58,IF(O$2&gt;O$257,0,IF($C58=O$2,"PAGAR"&amp;" "&amp;TEXT($B58," #.##0,00"),0)))</f>
        <v>0</v>
      </c>
      <c r="P58" s="111">
        <f>+IF(P$2=$E58,$D58,IF(P$2&gt;P$257,0,IF($C58=P$2,"PAGAR"&amp;" "&amp;TEXT($B58," #.##0,00"),0)))</f>
        <v>0</v>
      </c>
      <c r="Q58" s="111">
        <f>+IF(Q$2=$E58,$D58,IF(Q$2&gt;Q$257,0,IF($C58=Q$2,"PAGAR"&amp;" "&amp;TEXT($B58," #.##0,00"),0)))</f>
        <v>0</v>
      </c>
      <c r="R58" s="111">
        <f>+IF(R$2=$E58,$D58,IF(R$2&gt;R$257,0,IF($C58=R$2,"PAGAR"&amp;" "&amp;TEXT($B58," #.##0,00"),0)))</f>
        <v>0</v>
      </c>
      <c r="S58" s="111">
        <f>+IF(S$2=$E58,$D58,IF(S$2&gt;S$257,0,IF($C58=S$2,"PAGAR"&amp;" "&amp;TEXT($B58," #.##0,00"),0)))</f>
        <v>0</v>
      </c>
      <c r="T58" s="111">
        <f>+IF(T$2=$E58,$D58,IF(T$2&gt;T$257,0,IF($C58=T$2,"PAGAR"&amp;" "&amp;TEXT($B58," #.##0,00"),0)))</f>
        <v>0</v>
      </c>
      <c r="U58" s="111">
        <f>+IF(U$2=$E58,$D58,IF(U$2&gt;U$257,0,IF($C58=U$2,"PAGAR"&amp;" "&amp;TEXT($B58," #.##0,00"),0)))</f>
        <v>0</v>
      </c>
      <c r="V58" s="111">
        <f>+IF(V$2=$E58,$D58,IF(V$2&gt;V$257,0,IF($C58=V$2,"PAGAR"&amp;" "&amp;TEXT($B58," #.##0,00"),0)))</f>
        <v>0</v>
      </c>
      <c r="W58" s="111">
        <f>+IF(W$2=$E58,$D58,IF(W$2&gt;W$257,0,IF($C58=W$2,"PAGAR"&amp;" "&amp;TEXT($B58," #.##0,00"),0)))</f>
        <v>0</v>
      </c>
      <c r="X58" s="111">
        <f>+IF(X$2=$E58,$D58,IF(X$2&gt;X$257,0,IF($C58=X$2,"PAGAR"&amp;" "&amp;TEXT($B58," #.##0,00"),0)))</f>
        <v>0</v>
      </c>
      <c r="Y58" s="111">
        <f>+IF(Y$2=$E58,$D58,IF(Y$2&gt;Y$257,0,IF($C58=Y$2,"PAGAR"&amp;" "&amp;TEXT($B58," #.##0,00"),0)))</f>
        <v>0</v>
      </c>
      <c r="Z58" s="111">
        <f>+IF(Z$2=$E58,$D58,IF(Z$2&gt;Z$257,0,IF($C58=Z$2,"PAGAR"&amp;" "&amp;TEXT($B58," #.##0,00"),0)))</f>
        <v>0</v>
      </c>
      <c r="AA58" s="111">
        <f>+IF(AA$2=$E58,$D58,IF(AA$2&gt;AA$257,0,IF($C58=AA$2,"PAGAR"&amp;" "&amp;TEXT($B58," #.##0,00"),0)))</f>
        <v>0</v>
      </c>
      <c r="AB58" s="111">
        <f>+IF(AB$2=$E58,$D58,IF(AB$2&gt;AB$257,0,IF($C58=AB$2,"PAGAR"&amp;" "&amp;TEXT($B58," #.##0,00"),0)))</f>
        <v>0</v>
      </c>
      <c r="AC58" s="111">
        <f>+IF(AC$2=$E58,$D58,IF(AC$2&gt;AC$257,0,IF($C58=AC$2,"PAGAR"&amp;" "&amp;TEXT($B58," #.##0,00"),0)))</f>
        <v>0</v>
      </c>
      <c r="AD58" s="111">
        <f>+IF(AD$2=$E58,$D58,IF(AD$2&gt;AD$257,0,IF($C58=AD$2,"PAGAR"&amp;" "&amp;TEXT($B58," #.##0,00"),0)))</f>
        <v>0</v>
      </c>
      <c r="AE58" s="111">
        <f>+IF(AE$2=$E58,$D58,IF(AE$2&gt;AE$257,0,IF($C58=AE$2,"PAGAR"&amp;" "&amp;TEXT($B58," #.##0,00"),0)))</f>
        <v>0</v>
      </c>
      <c r="AF58" s="111">
        <f>+IF(AF$2=$E58,$D58,IF(AF$2&gt;AF$257,0,IF($C58=AF$2,"PAGAR"&amp;" "&amp;TEXT($B58," #.##0,00"),0)))</f>
        <v>0</v>
      </c>
      <c r="AG58" s="111">
        <f>+IF(AG$2=$E58,$D58,IF(AG$2&gt;AG$257,0,IF($C58=AG$2,"PAGAR"&amp;" "&amp;TEXT($B58," #.##0,00"),0)))</f>
        <v>0</v>
      </c>
      <c r="AH58" s="111">
        <f>+IF(AH$2=$E58,$D58,IF(AH$2&gt;AH$257,0,IF($C58=AH$2,"PAGAR"&amp;" "&amp;TEXT($B58," #.##0,00"),0)))</f>
        <v>0</v>
      </c>
      <c r="AI58" s="111">
        <f>+IF(AI$2=$E58,$D58,IF(AI$2&gt;AI$257,0,IF($C58=AI$2,"PAGAR"&amp;" "&amp;TEXT($B58," #.##0,00"),0)))</f>
        <v>0</v>
      </c>
      <c r="AJ58" s="111">
        <f>+IF(AJ$2=$E58,$D58,IF(AJ$2&gt;AJ$257,0,IF($C58=AJ$2,"PAGAR"&amp;" "&amp;TEXT($B58," #.##0,00"),0)))</f>
        <v>0</v>
      </c>
      <c r="AK58" s="111">
        <f>+IF(AK$2=$E58,$D58,IF(AK$2&gt;AK$257,0,IF($C58=AK$2,"PAGAR"&amp;" "&amp;TEXT($B58," #.##0,00"),0)))</f>
        <v>0</v>
      </c>
      <c r="AL58" s="111">
        <f>+IF(AL$2=$E58,$D58,IF(AL$2&gt;AL$257,0,IF($C58=AL$2,"PAGAR"&amp;" "&amp;TEXT($B58," #.##0,00"),0)))</f>
        <v>0</v>
      </c>
      <c r="AM58" s="111">
        <f>+IF(AM$2=$E58,$D58,IF(AM$2&gt;AM$257,0,IF($C58=AM$2,"PAGAR"&amp;" "&amp;TEXT($B58," #.##0,00"),0)))</f>
        <v>0</v>
      </c>
      <c r="AN58" s="111">
        <f t="shared" ca="1" si="11"/>
        <v>0</v>
      </c>
      <c r="AO58" s="287">
        <f t="shared" si="12"/>
        <v>0</v>
      </c>
      <c r="AQ58" s="233"/>
      <c r="AR58" s="231"/>
      <c r="AS58" s="235"/>
      <c r="AT58" s="228"/>
      <c r="AU58" s="259"/>
      <c r="AV58" s="264"/>
      <c r="AW58" s="223"/>
      <c r="AX58" s="223"/>
      <c r="AY58" s="223"/>
      <c r="AZ58" s="224"/>
      <c r="BA58" s="224"/>
      <c r="BB58" s="224"/>
      <c r="BC58" s="224"/>
      <c r="BD58" s="224"/>
    </row>
    <row r="59" spans="1:56" x14ac:dyDescent="0.25">
      <c r="A59" s="212"/>
      <c r="B59" s="90"/>
      <c r="C59" s="91"/>
      <c r="D59" s="97"/>
      <c r="E59" s="166"/>
      <c r="F59" s="84">
        <f ca="1">+IF(TODAY()&lt;DATEVALUE(1&amp;D$1&amp;E$1),0,IF(C59&gt;0,IF(C59-SUM(I$255:AM$255)&lt;0,B59-SUM(I59:AM59,0),0),0))+IF(C59=-1,B59-SUM(J59:AM59))</f>
        <v>0</v>
      </c>
      <c r="G59" s="1" t="str">
        <f t="shared" si="10"/>
        <v>-</v>
      </c>
      <c r="H59" s="14"/>
      <c r="I59" s="111">
        <f>IF(I$2=$E59,$D59,IF(I$2&gt;I$257,0,IF($C59=I$2,"PAGAR"&amp;" "&amp;TEXT($B59," #.##0,00"),IF($C59=-1,"PAGAR"&amp;" "&amp;TEXT($B59," #.##0,00"),0))))</f>
        <v>0</v>
      </c>
      <c r="J59" s="111">
        <f>+IF(J$2=$E59,$D59,IF(J$2&gt;J$257,0,IF($C59=J$2,"PAGAR"&amp;" "&amp;TEXT($B59," #.##0,00"),0)))</f>
        <v>0</v>
      </c>
      <c r="K59" s="111">
        <f>+IF(K$2=$E59,$D59,IF(K$2&gt;K$257,0,IF($C59=K$2,"PAGAR"&amp;" "&amp;TEXT($B59," #.##0,00"),0)))</f>
        <v>0</v>
      </c>
      <c r="L59" s="111">
        <f>+IF(L$2=$E59,$D59,IF(L$2&gt;L$257,0,IF($C59=L$2,"PAGAR"&amp;" "&amp;TEXT($B59," #.##0,00"),0)))</f>
        <v>0</v>
      </c>
      <c r="M59" s="111">
        <f>+IF(M$2=$E59,$D59,IF(M$2&gt;M$257,0,IF($C59=M$2,"PAGAR"&amp;" "&amp;TEXT($B59," #.##0,00"),0)))</f>
        <v>0</v>
      </c>
      <c r="N59" s="111">
        <f>+IF(N$2=$E59,$D59,IF(N$2&gt;N$257,0,IF($C59=N$2,"PAGAR"&amp;" "&amp;TEXT($B59," #.##0,00"),0)))</f>
        <v>0</v>
      </c>
      <c r="O59" s="111">
        <f>+IF(O$2=$E59,$D59,IF(O$2&gt;O$257,0,IF($C59=O$2,"PAGAR"&amp;" "&amp;TEXT($B59," #.##0,00"),0)))</f>
        <v>0</v>
      </c>
      <c r="P59" s="111">
        <f>+IF(P$2=$E59,$D59,IF(P$2&gt;P$257,0,IF($C59=P$2,"PAGAR"&amp;" "&amp;TEXT($B59," #.##0,00"),0)))</f>
        <v>0</v>
      </c>
      <c r="Q59" s="111">
        <f>+IF(Q$2=$E59,$D59,IF(Q$2&gt;Q$257,0,IF($C59=Q$2,"PAGAR"&amp;" "&amp;TEXT($B59," #.##0,00"),0)))</f>
        <v>0</v>
      </c>
      <c r="R59" s="111">
        <f>+IF(R$2=$E59,$D59,IF(R$2&gt;R$257,0,IF($C59=R$2,"PAGAR"&amp;" "&amp;TEXT($B59," #.##0,00"),0)))</f>
        <v>0</v>
      </c>
      <c r="S59" s="111">
        <f>+IF(S$2=$E59,$D59,IF(S$2&gt;S$257,0,IF($C59=S$2,"PAGAR"&amp;" "&amp;TEXT($B59," #.##0,00"),0)))</f>
        <v>0</v>
      </c>
      <c r="T59" s="111">
        <f>+IF(T$2=$E59,$D59,IF(T$2&gt;T$257,0,IF($C59=T$2,"PAGAR"&amp;" "&amp;TEXT($B59," #.##0,00"),0)))</f>
        <v>0</v>
      </c>
      <c r="U59" s="111">
        <f>+IF(U$2=$E59,$D59,IF(U$2&gt;U$257,0,IF($C59=U$2,"PAGAR"&amp;" "&amp;TEXT($B59," #.##0,00"),0)))</f>
        <v>0</v>
      </c>
      <c r="V59" s="111">
        <f>+IF(V$2=$E59,$D59,IF(V$2&gt;V$257,0,IF($C59=V$2,"PAGAR"&amp;" "&amp;TEXT($B59," #.##0,00"),0)))</f>
        <v>0</v>
      </c>
      <c r="W59" s="111">
        <f>+IF(W$2=$E59,$D59,IF(W$2&gt;W$257,0,IF($C59=W$2,"PAGAR"&amp;" "&amp;TEXT($B59," #.##0,00"),0)))</f>
        <v>0</v>
      </c>
      <c r="X59" s="111">
        <f>+IF(X$2=$E59,$D59,IF(X$2&gt;X$257,0,IF($C59=X$2,"PAGAR"&amp;" "&amp;TEXT($B59," #.##0,00"),0)))</f>
        <v>0</v>
      </c>
      <c r="Y59" s="111">
        <f>+IF(Y$2=$E59,$D59,IF(Y$2&gt;Y$257,0,IF($C59=Y$2,"PAGAR"&amp;" "&amp;TEXT($B59," #.##0,00"),0)))</f>
        <v>0</v>
      </c>
      <c r="Z59" s="111">
        <f>+IF(Z$2=$E59,$D59,IF(Z$2&gt;Z$257,0,IF($C59=Z$2,"PAGAR"&amp;" "&amp;TEXT($B59," #.##0,00"),0)))</f>
        <v>0</v>
      </c>
      <c r="AA59" s="111">
        <f>+IF(AA$2=$E59,$D59,IF(AA$2&gt;AA$257,0,IF($C59=AA$2,"PAGAR"&amp;" "&amp;TEXT($B59," #.##0,00"),0)))</f>
        <v>0</v>
      </c>
      <c r="AB59" s="111">
        <f>+IF(AB$2=$E59,$D59,IF(AB$2&gt;AB$257,0,IF($C59=AB$2,"PAGAR"&amp;" "&amp;TEXT($B59," #.##0,00"),0)))</f>
        <v>0</v>
      </c>
      <c r="AC59" s="111">
        <f>+IF(AC$2=$E59,$D59,IF(AC$2&gt;AC$257,0,IF($C59=AC$2,"PAGAR"&amp;" "&amp;TEXT($B59," #.##0,00"),0)))</f>
        <v>0</v>
      </c>
      <c r="AD59" s="111">
        <f>+IF(AD$2=$E59,$D59,IF(AD$2&gt;AD$257,0,IF($C59=AD$2,"PAGAR"&amp;" "&amp;TEXT($B59," #.##0,00"),0)))</f>
        <v>0</v>
      </c>
      <c r="AE59" s="111">
        <f>+IF(AE$2=$E59,$D59,IF(AE$2&gt;AE$257,0,IF($C59=AE$2,"PAGAR"&amp;" "&amp;TEXT($B59," #.##0,00"),0)))</f>
        <v>0</v>
      </c>
      <c r="AF59" s="111">
        <f>+IF(AF$2=$E59,$D59,IF(AF$2&gt;AF$257,0,IF($C59=AF$2,"PAGAR"&amp;" "&amp;TEXT($B59," #.##0,00"),0)))</f>
        <v>0</v>
      </c>
      <c r="AG59" s="111">
        <f>+IF(AG$2=$E59,$D59,IF(AG$2&gt;AG$257,0,IF($C59=AG$2,"PAGAR"&amp;" "&amp;TEXT($B59," #.##0,00"),0)))</f>
        <v>0</v>
      </c>
      <c r="AH59" s="111">
        <f>+IF(AH$2=$E59,$D59,IF(AH$2&gt;AH$257,0,IF($C59=AH$2,"PAGAR"&amp;" "&amp;TEXT($B59," #.##0,00"),0)))</f>
        <v>0</v>
      </c>
      <c r="AI59" s="111">
        <f>+IF(AI$2=$E59,$D59,IF(AI$2&gt;AI$257,0,IF($C59=AI$2,"PAGAR"&amp;" "&amp;TEXT($B59," #.##0,00"),0)))</f>
        <v>0</v>
      </c>
      <c r="AJ59" s="111">
        <f>+IF(AJ$2=$E59,$D59,IF(AJ$2&gt;AJ$257,0,IF($C59=AJ$2,"PAGAR"&amp;" "&amp;TEXT($B59," #.##0,00"),0)))</f>
        <v>0</v>
      </c>
      <c r="AK59" s="111">
        <f>+IF(AK$2=$E59,$D59,IF(AK$2&gt;AK$257,0,IF($C59=AK$2,"PAGAR"&amp;" "&amp;TEXT($B59," #.##0,00"),0)))</f>
        <v>0</v>
      </c>
      <c r="AL59" s="111">
        <f>+IF(AL$2=$E59,$D59,IF(AL$2&gt;AL$257,0,IF($C59=AL$2,"PAGAR"&amp;" "&amp;TEXT($B59," #.##0,00"),0)))</f>
        <v>0</v>
      </c>
      <c r="AM59" s="111">
        <f>+IF(AM$2=$E59,$D59,IF(AM$2&gt;AM$257,0,IF($C59=AM$2,"PAGAR"&amp;" "&amp;TEXT($B59," #.##0,00"),0)))</f>
        <v>0</v>
      </c>
      <c r="AN59" s="111">
        <f t="shared" ca="1" si="11"/>
        <v>0</v>
      </c>
      <c r="AO59" s="287">
        <f t="shared" si="12"/>
        <v>0</v>
      </c>
      <c r="AQ59" s="223"/>
      <c r="AR59" s="223"/>
      <c r="AS59" s="223"/>
      <c r="AT59" s="223"/>
      <c r="AU59" s="223"/>
      <c r="AW59" s="223"/>
      <c r="AX59" s="223"/>
      <c r="AY59" s="223"/>
      <c r="AZ59" s="224"/>
      <c r="BA59" s="224"/>
      <c r="BB59" s="224"/>
      <c r="BC59" s="224"/>
      <c r="BD59" s="224"/>
    </row>
    <row r="60" spans="1:56" x14ac:dyDescent="0.25">
      <c r="A60" s="212"/>
      <c r="B60" s="90"/>
      <c r="C60" s="91"/>
      <c r="D60" s="97"/>
      <c r="E60" s="166"/>
      <c r="F60" s="84">
        <f ca="1">+IF(TODAY()&lt;DATEVALUE(1&amp;D$1&amp;E$1),0,IF(C60&gt;0,IF(C60-SUM(I$255:AM$255)&lt;0,B60-SUM(I60:AM60,0),0),0))+IF(C60=-1,B60-SUM(J60:AM60))</f>
        <v>0</v>
      </c>
      <c r="G60" s="1" t="str">
        <f t="shared" si="10"/>
        <v>-</v>
      </c>
      <c r="H60" s="14"/>
      <c r="I60" s="111">
        <f>IF(I$2=$E60,$D60,IF(I$2&gt;I$257,0,IF($C60=I$2,"PAGAR"&amp;" "&amp;TEXT($B60," #.##0,00"),IF($C60=-1,"PAGAR"&amp;" "&amp;TEXT($B60," #.##0,00"),0))))</f>
        <v>0</v>
      </c>
      <c r="J60" s="111">
        <f>+IF(J$2=$E60,$D60,IF(J$2&gt;J$257,0,IF($C60=J$2,"PAGAR"&amp;" "&amp;TEXT($B60," #.##0,00"),0)))</f>
        <v>0</v>
      </c>
      <c r="K60" s="111">
        <f>+IF(K$2=$E60,$D60,IF(K$2&gt;K$257,0,IF($C60=K$2,"PAGAR"&amp;" "&amp;TEXT($B60," #.##0,00"),0)))</f>
        <v>0</v>
      </c>
      <c r="L60" s="111">
        <f>+IF(L$2=$E60,$D60,IF(L$2&gt;L$257,0,IF($C60=L$2,"PAGAR"&amp;" "&amp;TEXT($B60," #.##0,00"),0)))</f>
        <v>0</v>
      </c>
      <c r="M60" s="111">
        <f>+IF(M$2=$E60,$D60,IF(M$2&gt;M$257,0,IF($C60=M$2,"PAGAR"&amp;" "&amp;TEXT($B60," #.##0,00"),0)))</f>
        <v>0</v>
      </c>
      <c r="N60" s="111">
        <f>+IF(N$2=$E60,$D60,IF(N$2&gt;N$257,0,IF($C60=N$2,"PAGAR"&amp;" "&amp;TEXT($B60," #.##0,00"),0)))</f>
        <v>0</v>
      </c>
      <c r="O60" s="111">
        <f>+IF(O$2=$E60,$D60,IF(O$2&gt;O$257,0,IF($C60=O$2,"PAGAR"&amp;" "&amp;TEXT($B60," #.##0,00"),0)))</f>
        <v>0</v>
      </c>
      <c r="P60" s="111">
        <f>+IF(P$2=$E60,$D60,IF(P$2&gt;P$257,0,IF($C60=P$2,"PAGAR"&amp;" "&amp;TEXT($B60," #.##0,00"),0)))</f>
        <v>0</v>
      </c>
      <c r="Q60" s="111">
        <f>+IF(Q$2=$E60,$D60,IF(Q$2&gt;Q$257,0,IF($C60=Q$2,"PAGAR"&amp;" "&amp;TEXT($B60," #.##0,00"),0)))</f>
        <v>0</v>
      </c>
      <c r="R60" s="111">
        <f>+IF(R$2=$E60,$D60,IF(R$2&gt;R$257,0,IF($C60=R$2,"PAGAR"&amp;" "&amp;TEXT($B60," #.##0,00"),0)))</f>
        <v>0</v>
      </c>
      <c r="S60" s="111">
        <f>+IF(S$2=$E60,$D60,IF(S$2&gt;S$257,0,IF($C60=S$2,"PAGAR"&amp;" "&amp;TEXT($B60," #.##0,00"),0)))</f>
        <v>0</v>
      </c>
      <c r="T60" s="111">
        <f>+IF(T$2=$E60,$D60,IF(T$2&gt;T$257,0,IF($C60=T$2,"PAGAR"&amp;" "&amp;TEXT($B60," #.##0,00"),0)))</f>
        <v>0</v>
      </c>
      <c r="U60" s="111">
        <f>+IF(U$2=$E60,$D60,IF(U$2&gt;U$257,0,IF($C60=U$2,"PAGAR"&amp;" "&amp;TEXT($B60," #.##0,00"),0)))</f>
        <v>0</v>
      </c>
      <c r="V60" s="111">
        <f>+IF(V$2=$E60,$D60,IF(V$2&gt;V$257,0,IF($C60=V$2,"PAGAR"&amp;" "&amp;TEXT($B60," #.##0,00"),0)))</f>
        <v>0</v>
      </c>
      <c r="W60" s="111">
        <f>+IF(W$2=$E60,$D60,IF(W$2&gt;W$257,0,IF($C60=W$2,"PAGAR"&amp;" "&amp;TEXT($B60," #.##0,00"),0)))</f>
        <v>0</v>
      </c>
      <c r="X60" s="111">
        <f>+IF(X$2=$E60,$D60,IF(X$2&gt;X$257,0,IF($C60=X$2,"PAGAR"&amp;" "&amp;TEXT($B60," #.##0,00"),0)))</f>
        <v>0</v>
      </c>
      <c r="Y60" s="111">
        <f>+IF(Y$2=$E60,$D60,IF(Y$2&gt;Y$257,0,IF($C60=Y$2,"PAGAR"&amp;" "&amp;TEXT($B60," #.##0,00"),0)))</f>
        <v>0</v>
      </c>
      <c r="Z60" s="111">
        <f>+IF(Z$2=$E60,$D60,IF(Z$2&gt;Z$257,0,IF($C60=Z$2,"PAGAR"&amp;" "&amp;TEXT($B60," #.##0,00"),0)))</f>
        <v>0</v>
      </c>
      <c r="AA60" s="111">
        <f>+IF(AA$2=$E60,$D60,IF(AA$2&gt;AA$257,0,IF($C60=AA$2,"PAGAR"&amp;" "&amp;TEXT($B60," #.##0,00"),0)))</f>
        <v>0</v>
      </c>
      <c r="AB60" s="111">
        <f>+IF(AB$2=$E60,$D60,IF(AB$2&gt;AB$257,0,IF($C60=AB$2,"PAGAR"&amp;" "&amp;TEXT($B60," #.##0,00"),0)))</f>
        <v>0</v>
      </c>
      <c r="AC60" s="111">
        <f>+IF(AC$2=$E60,$D60,IF(AC$2&gt;AC$257,0,IF($C60=AC$2,"PAGAR"&amp;" "&amp;TEXT($B60," #.##0,00"),0)))</f>
        <v>0</v>
      </c>
      <c r="AD60" s="111">
        <f>+IF(AD$2=$E60,$D60,IF(AD$2&gt;AD$257,0,IF($C60=AD$2,"PAGAR"&amp;" "&amp;TEXT($B60," #.##0,00"),0)))</f>
        <v>0</v>
      </c>
      <c r="AE60" s="111">
        <f>+IF(AE$2=$E60,$D60,IF(AE$2&gt;AE$257,0,IF($C60=AE$2,"PAGAR"&amp;" "&amp;TEXT($B60," #.##0,00"),0)))</f>
        <v>0</v>
      </c>
      <c r="AF60" s="111">
        <f>+IF(AF$2=$E60,$D60,IF(AF$2&gt;AF$257,0,IF($C60=AF$2,"PAGAR"&amp;" "&amp;TEXT($B60," #.##0,00"),0)))</f>
        <v>0</v>
      </c>
      <c r="AG60" s="111">
        <f>+IF(AG$2=$E60,$D60,IF(AG$2&gt;AG$257,0,IF($C60=AG$2,"PAGAR"&amp;" "&amp;TEXT($B60," #.##0,00"),0)))</f>
        <v>0</v>
      </c>
      <c r="AH60" s="111">
        <f>+IF(AH$2=$E60,$D60,IF(AH$2&gt;AH$257,0,IF($C60=AH$2,"PAGAR"&amp;" "&amp;TEXT($B60," #.##0,00"),0)))</f>
        <v>0</v>
      </c>
      <c r="AI60" s="111">
        <f>+IF(AI$2=$E60,$D60,IF(AI$2&gt;AI$257,0,IF($C60=AI$2,"PAGAR"&amp;" "&amp;TEXT($B60," #.##0,00"),0)))</f>
        <v>0</v>
      </c>
      <c r="AJ60" s="111">
        <f>+IF(AJ$2=$E60,$D60,IF(AJ$2&gt;AJ$257,0,IF($C60=AJ$2,"PAGAR"&amp;" "&amp;TEXT($B60," #.##0,00"),0)))</f>
        <v>0</v>
      </c>
      <c r="AK60" s="111">
        <f>+IF(AK$2=$E60,$D60,IF(AK$2&gt;AK$257,0,IF($C60=AK$2,"PAGAR"&amp;" "&amp;TEXT($B60," #.##0,00"),0)))</f>
        <v>0</v>
      </c>
      <c r="AL60" s="111">
        <f>+IF(AL$2=$E60,$D60,IF(AL$2&gt;AL$257,0,IF($C60=AL$2,"PAGAR"&amp;" "&amp;TEXT($B60," #.##0,00"),0)))</f>
        <v>0</v>
      </c>
      <c r="AM60" s="111">
        <f>+IF(AM$2=$E60,$D60,IF(AM$2&gt;AM$257,0,IF($C60=AM$2,"PAGAR"&amp;" "&amp;TEXT($B60," #.##0,00"),0)))</f>
        <v>0</v>
      </c>
      <c r="AN60" s="111">
        <f t="shared" ca="1" si="11"/>
        <v>0</v>
      </c>
      <c r="AO60" s="287">
        <f t="shared" si="12"/>
        <v>0</v>
      </c>
      <c r="AQ60" s="223"/>
      <c r="AR60" s="223"/>
      <c r="AS60" s="223"/>
      <c r="AT60" s="223"/>
      <c r="AU60" s="223"/>
      <c r="AV60" s="223"/>
      <c r="AW60" s="223"/>
      <c r="AX60" s="223"/>
      <c r="AY60" s="223"/>
      <c r="AZ60" s="224"/>
      <c r="BA60" s="224"/>
      <c r="BB60" s="224"/>
      <c r="BC60" s="224"/>
      <c r="BD60" s="224"/>
    </row>
    <row r="61" spans="1:56" x14ac:dyDescent="0.25">
      <c r="A61" s="212"/>
      <c r="B61" s="90"/>
      <c r="C61" s="91"/>
      <c r="D61" s="97"/>
      <c r="E61" s="166"/>
      <c r="F61" s="84">
        <f ca="1">+IF(TODAY()&lt;DATEVALUE(1&amp;D$1&amp;E$1),0,IF(C61&gt;0,IF(C61-SUM(I$255:AM$255)&lt;0,B61-SUM(I61:AM61,0),0),0))+IF(C61=-1,B61-SUM(J61:AM61))</f>
        <v>0</v>
      </c>
      <c r="G61" s="1" t="str">
        <f t="shared" si="10"/>
        <v>-</v>
      </c>
      <c r="H61" s="14"/>
      <c r="I61" s="111">
        <f>IF(I$2=$E61,$D61,IF(I$2&gt;I$257,0,IF($C61=I$2,"PAGAR"&amp;" "&amp;TEXT($B61," #.##0,00"),IF($C61=-1,"PAGAR"&amp;" "&amp;TEXT($B61," #.##0,00"),0))))</f>
        <v>0</v>
      </c>
      <c r="J61" s="111">
        <f>+IF(J$2=$E61,$D61,IF(J$2&gt;J$257,0,IF($C61=J$2,"PAGAR"&amp;" "&amp;TEXT($B61," #.##0,00"),0)))</f>
        <v>0</v>
      </c>
      <c r="K61" s="111">
        <f>+IF(K$2=$E61,$D61,IF(K$2&gt;K$257,0,IF($C61=K$2,"PAGAR"&amp;" "&amp;TEXT($B61," #.##0,00"),0)))</f>
        <v>0</v>
      </c>
      <c r="L61" s="111">
        <f>+IF(L$2=$E61,$D61,IF(L$2&gt;L$257,0,IF($C61=L$2,"PAGAR"&amp;" "&amp;TEXT($B61," #.##0,00"),0)))</f>
        <v>0</v>
      </c>
      <c r="M61" s="111">
        <f>+IF(M$2=$E61,$D61,IF(M$2&gt;M$257,0,IF($C61=M$2,"PAGAR"&amp;" "&amp;TEXT($B61," #.##0,00"),0)))</f>
        <v>0</v>
      </c>
      <c r="N61" s="111">
        <f>+IF(N$2=$E61,$D61,IF(N$2&gt;N$257,0,IF($C61=N$2,"PAGAR"&amp;" "&amp;TEXT($B61," #.##0,00"),0)))</f>
        <v>0</v>
      </c>
      <c r="O61" s="111">
        <f>+IF(O$2=$E61,$D61,IF(O$2&gt;O$257,0,IF($C61=O$2,"PAGAR"&amp;" "&amp;TEXT($B61," #.##0,00"),0)))</f>
        <v>0</v>
      </c>
      <c r="P61" s="111">
        <f>+IF(P$2=$E61,$D61,IF(P$2&gt;P$257,0,IF($C61=P$2,"PAGAR"&amp;" "&amp;TEXT($B61," #.##0,00"),0)))</f>
        <v>0</v>
      </c>
      <c r="Q61" s="111">
        <f>+IF(Q$2=$E61,$D61,IF(Q$2&gt;Q$257,0,IF($C61=Q$2,"PAGAR"&amp;" "&amp;TEXT($B61," #.##0,00"),0)))</f>
        <v>0</v>
      </c>
      <c r="R61" s="111">
        <f>+IF(R$2=$E61,$D61,IF(R$2&gt;R$257,0,IF($C61=R$2,"PAGAR"&amp;" "&amp;TEXT($B61," #.##0,00"),0)))</f>
        <v>0</v>
      </c>
      <c r="S61" s="111">
        <f>+IF(S$2=$E61,$D61,IF(S$2&gt;S$257,0,IF($C61=S$2,"PAGAR"&amp;" "&amp;TEXT($B61," #.##0,00"),0)))</f>
        <v>0</v>
      </c>
      <c r="T61" s="111">
        <f>+IF(T$2=$E61,$D61,IF(T$2&gt;T$257,0,IF($C61=T$2,"PAGAR"&amp;" "&amp;TEXT($B61," #.##0,00"),0)))</f>
        <v>0</v>
      </c>
      <c r="U61" s="111">
        <f>+IF(U$2=$E61,$D61,IF(U$2&gt;U$257,0,IF($C61=U$2,"PAGAR"&amp;" "&amp;TEXT($B61," #.##0,00"),0)))</f>
        <v>0</v>
      </c>
      <c r="V61" s="111">
        <f>+IF(V$2=$E61,$D61,IF(V$2&gt;V$257,0,IF($C61=V$2,"PAGAR"&amp;" "&amp;TEXT($B61," #.##0,00"),0)))</f>
        <v>0</v>
      </c>
      <c r="W61" s="111">
        <f>+IF(W$2=$E61,$D61,IF(W$2&gt;W$257,0,IF($C61=W$2,"PAGAR"&amp;" "&amp;TEXT($B61," #.##0,00"),0)))</f>
        <v>0</v>
      </c>
      <c r="X61" s="111">
        <f>+IF(X$2=$E61,$D61,IF(X$2&gt;X$257,0,IF($C61=X$2,"PAGAR"&amp;" "&amp;TEXT($B61," #.##0,00"),0)))</f>
        <v>0</v>
      </c>
      <c r="Y61" s="111">
        <f>+IF(Y$2=$E61,$D61,IF(Y$2&gt;Y$257,0,IF($C61=Y$2,"PAGAR"&amp;" "&amp;TEXT($B61," #.##0,00"),0)))</f>
        <v>0</v>
      </c>
      <c r="Z61" s="111">
        <f>+IF(Z$2=$E61,$D61,IF(Z$2&gt;Z$257,0,IF($C61=Z$2,"PAGAR"&amp;" "&amp;TEXT($B61," #.##0,00"),0)))</f>
        <v>0</v>
      </c>
      <c r="AA61" s="111">
        <f>+IF(AA$2=$E61,$D61,IF(AA$2&gt;AA$257,0,IF($C61=AA$2,"PAGAR"&amp;" "&amp;TEXT($B61," #.##0,00"),0)))</f>
        <v>0</v>
      </c>
      <c r="AB61" s="111">
        <f>+IF(AB$2=$E61,$D61,IF(AB$2&gt;AB$257,0,IF($C61=AB$2,"PAGAR"&amp;" "&amp;TEXT($B61," #.##0,00"),0)))</f>
        <v>0</v>
      </c>
      <c r="AC61" s="111">
        <f>+IF(AC$2=$E61,$D61,IF(AC$2&gt;AC$257,0,IF($C61=AC$2,"PAGAR"&amp;" "&amp;TEXT($B61," #.##0,00"),0)))</f>
        <v>0</v>
      </c>
      <c r="AD61" s="111">
        <f>+IF(AD$2=$E61,$D61,IF(AD$2&gt;AD$257,0,IF($C61=AD$2,"PAGAR"&amp;" "&amp;TEXT($B61," #.##0,00"),0)))</f>
        <v>0</v>
      </c>
      <c r="AE61" s="111">
        <f>+IF(AE$2=$E61,$D61,IF(AE$2&gt;AE$257,0,IF($C61=AE$2,"PAGAR"&amp;" "&amp;TEXT($B61," #.##0,00"),0)))</f>
        <v>0</v>
      </c>
      <c r="AF61" s="111">
        <f>+IF(AF$2=$E61,$D61,IF(AF$2&gt;AF$257,0,IF($C61=AF$2,"PAGAR"&amp;" "&amp;TEXT($B61," #.##0,00"),0)))</f>
        <v>0</v>
      </c>
      <c r="AG61" s="111">
        <f>+IF(AG$2=$E61,$D61,IF(AG$2&gt;AG$257,0,IF($C61=AG$2,"PAGAR"&amp;" "&amp;TEXT($B61," #.##0,00"),0)))</f>
        <v>0</v>
      </c>
      <c r="AH61" s="111">
        <f>+IF(AH$2=$E61,$D61,IF(AH$2&gt;AH$257,0,IF($C61=AH$2,"PAGAR"&amp;" "&amp;TEXT($B61," #.##0,00"),0)))</f>
        <v>0</v>
      </c>
      <c r="AI61" s="111">
        <f>+IF(AI$2=$E61,$D61,IF(AI$2&gt;AI$257,0,IF($C61=AI$2,"PAGAR"&amp;" "&amp;TEXT($B61," #.##0,00"),0)))</f>
        <v>0</v>
      </c>
      <c r="AJ61" s="111">
        <f>+IF(AJ$2=$E61,$D61,IF(AJ$2&gt;AJ$257,0,IF($C61=AJ$2,"PAGAR"&amp;" "&amp;TEXT($B61," #.##0,00"),0)))</f>
        <v>0</v>
      </c>
      <c r="AK61" s="111">
        <f>+IF(AK$2=$E61,$D61,IF(AK$2&gt;AK$257,0,IF($C61=AK$2,"PAGAR"&amp;" "&amp;TEXT($B61," #.##0,00"),0)))</f>
        <v>0</v>
      </c>
      <c r="AL61" s="111">
        <f>+IF(AL$2=$E61,$D61,IF(AL$2&gt;AL$257,0,IF($C61=AL$2,"PAGAR"&amp;" "&amp;TEXT($B61," #.##0,00"),0)))</f>
        <v>0</v>
      </c>
      <c r="AM61" s="111">
        <f>+IF(AM$2=$E61,$D61,IF(AM$2&gt;AM$257,0,IF($C61=AM$2,"PAGAR"&amp;" "&amp;TEXT($B61," #.##0,00"),0)))</f>
        <v>0</v>
      </c>
      <c r="AN61" s="111">
        <f t="shared" ca="1" si="11"/>
        <v>0</v>
      </c>
      <c r="AO61" s="287">
        <f t="shared" si="12"/>
        <v>0</v>
      </c>
      <c r="AQ61" s="223"/>
      <c r="AR61" s="223"/>
      <c r="AS61" s="223"/>
      <c r="AT61" s="223"/>
      <c r="AU61" s="223"/>
      <c r="AV61" s="223"/>
      <c r="AW61" s="223"/>
      <c r="AX61" s="223"/>
      <c r="AY61" s="223"/>
      <c r="AZ61" s="224"/>
      <c r="BA61" s="224"/>
      <c r="BB61" s="224"/>
      <c r="BC61" s="224"/>
      <c r="BD61" s="224"/>
    </row>
    <row r="62" spans="1:56" x14ac:dyDescent="0.25">
      <c r="A62" s="212"/>
      <c r="B62" s="90"/>
      <c r="C62" s="91"/>
      <c r="D62" s="97"/>
      <c r="E62" s="166"/>
      <c r="F62" s="84">
        <f ca="1">+IF(TODAY()&lt;DATEVALUE(1&amp;D$1&amp;E$1),0,IF(C62&gt;0,IF(C62-SUM(I$255:AM$255)&lt;0,B62-SUM(I62:AM62,0),0),0))+IF(C62=-1,B62-SUM(J62:AM62))</f>
        <v>0</v>
      </c>
      <c r="G62" s="1" t="str">
        <f t="shared" si="10"/>
        <v>-</v>
      </c>
      <c r="H62" s="14"/>
      <c r="I62" s="111">
        <f>IF(I$2=$E62,$D62,IF(I$2&gt;I$257,0,IF($C62=I$2,"PAGAR"&amp;" "&amp;TEXT($B62," #.##0,00"),IF($C62=-1,"PAGAR"&amp;" "&amp;TEXT($B62," #.##0,00"),0))))</f>
        <v>0</v>
      </c>
      <c r="J62" s="111">
        <f>+IF(J$2=$E62,$D62,IF(J$2&gt;J$257,0,IF($C62=J$2,"PAGAR"&amp;" "&amp;TEXT($B62," #.##0,00"),0)))</f>
        <v>0</v>
      </c>
      <c r="K62" s="111">
        <f>+IF(K$2=$E62,$D62,IF(K$2&gt;K$257,0,IF($C62=K$2,"PAGAR"&amp;" "&amp;TEXT($B62," #.##0,00"),0)))</f>
        <v>0</v>
      </c>
      <c r="L62" s="111">
        <f>+IF(L$2=$E62,$D62,IF(L$2&gt;L$257,0,IF($C62=L$2,"PAGAR"&amp;" "&amp;TEXT($B62," #.##0,00"),0)))</f>
        <v>0</v>
      </c>
      <c r="M62" s="111">
        <f>+IF(M$2=$E62,$D62,IF(M$2&gt;M$257,0,IF($C62=M$2,"PAGAR"&amp;" "&amp;TEXT($B62," #.##0,00"),0)))</f>
        <v>0</v>
      </c>
      <c r="N62" s="111">
        <f>+IF(N$2=$E62,$D62,IF(N$2&gt;N$257,0,IF($C62=N$2,"PAGAR"&amp;" "&amp;TEXT($B62," #.##0,00"),0)))</f>
        <v>0</v>
      </c>
      <c r="O62" s="111">
        <f>+IF(O$2=$E62,$D62,IF(O$2&gt;O$257,0,IF($C62=O$2,"PAGAR"&amp;" "&amp;TEXT($B62," #.##0,00"),0)))</f>
        <v>0</v>
      </c>
      <c r="P62" s="111">
        <f>+IF(P$2=$E62,$D62,IF(P$2&gt;P$257,0,IF($C62=P$2,"PAGAR"&amp;" "&amp;TEXT($B62," #.##0,00"),0)))</f>
        <v>0</v>
      </c>
      <c r="Q62" s="111">
        <f>+IF(Q$2=$E62,$D62,IF(Q$2&gt;Q$257,0,IF($C62=Q$2,"PAGAR"&amp;" "&amp;TEXT($B62," #.##0,00"),0)))</f>
        <v>0</v>
      </c>
      <c r="R62" s="111">
        <f>+IF(R$2=$E62,$D62,IF(R$2&gt;R$257,0,IF($C62=R$2,"PAGAR"&amp;" "&amp;TEXT($B62," #.##0,00"),0)))</f>
        <v>0</v>
      </c>
      <c r="S62" s="111">
        <f>+IF(S$2=$E62,$D62,IF(S$2&gt;S$257,0,IF($C62=S$2,"PAGAR"&amp;" "&amp;TEXT($B62," #.##0,00"),0)))</f>
        <v>0</v>
      </c>
      <c r="T62" s="111">
        <f>+IF(T$2=$E62,$D62,IF(T$2&gt;T$257,0,IF($C62=T$2,"PAGAR"&amp;" "&amp;TEXT($B62," #.##0,00"),0)))</f>
        <v>0</v>
      </c>
      <c r="U62" s="111">
        <f>+IF(U$2=$E62,$D62,IF(U$2&gt;U$257,0,IF($C62=U$2,"PAGAR"&amp;" "&amp;TEXT($B62," #.##0,00"),0)))</f>
        <v>0</v>
      </c>
      <c r="V62" s="111">
        <f>+IF(V$2=$E62,$D62,IF(V$2&gt;V$257,0,IF($C62=V$2,"PAGAR"&amp;" "&amp;TEXT($B62," #.##0,00"),0)))</f>
        <v>0</v>
      </c>
      <c r="W62" s="111">
        <f>+IF(W$2=$E62,$D62,IF(W$2&gt;W$257,0,IF($C62=W$2,"PAGAR"&amp;" "&amp;TEXT($B62," #.##0,00"),0)))</f>
        <v>0</v>
      </c>
      <c r="X62" s="111">
        <f>+IF(X$2=$E62,$D62,IF(X$2&gt;X$257,0,IF($C62=X$2,"PAGAR"&amp;" "&amp;TEXT($B62," #.##0,00"),0)))</f>
        <v>0</v>
      </c>
      <c r="Y62" s="111">
        <f>+IF(Y$2=$E62,$D62,IF(Y$2&gt;Y$257,0,IF($C62=Y$2,"PAGAR"&amp;" "&amp;TEXT($B62," #.##0,00"),0)))</f>
        <v>0</v>
      </c>
      <c r="Z62" s="111">
        <f>+IF(Z$2=$E62,$D62,IF(Z$2&gt;Z$257,0,IF($C62=Z$2,"PAGAR"&amp;" "&amp;TEXT($B62," #.##0,00"),0)))</f>
        <v>0</v>
      </c>
      <c r="AA62" s="111">
        <f>+IF(AA$2=$E62,$D62,IF(AA$2&gt;AA$257,0,IF($C62=AA$2,"PAGAR"&amp;" "&amp;TEXT($B62," #.##0,00"),0)))</f>
        <v>0</v>
      </c>
      <c r="AB62" s="111">
        <f>+IF(AB$2=$E62,$D62,IF(AB$2&gt;AB$257,0,IF($C62=AB$2,"PAGAR"&amp;" "&amp;TEXT($B62," #.##0,00"),0)))</f>
        <v>0</v>
      </c>
      <c r="AC62" s="111">
        <f>+IF(AC$2=$E62,$D62,IF(AC$2&gt;AC$257,0,IF($C62=AC$2,"PAGAR"&amp;" "&amp;TEXT($B62," #.##0,00"),0)))</f>
        <v>0</v>
      </c>
      <c r="AD62" s="111">
        <f>+IF(AD$2=$E62,$D62,IF(AD$2&gt;AD$257,0,IF($C62=AD$2,"PAGAR"&amp;" "&amp;TEXT($B62," #.##0,00"),0)))</f>
        <v>0</v>
      </c>
      <c r="AE62" s="111">
        <f>+IF(AE$2=$E62,$D62,IF(AE$2&gt;AE$257,0,IF($C62=AE$2,"PAGAR"&amp;" "&amp;TEXT($B62," #.##0,00"),0)))</f>
        <v>0</v>
      </c>
      <c r="AF62" s="111">
        <f>+IF(AF$2=$E62,$D62,IF(AF$2&gt;AF$257,0,IF($C62=AF$2,"PAGAR"&amp;" "&amp;TEXT($B62," #.##0,00"),0)))</f>
        <v>0</v>
      </c>
      <c r="AG62" s="111">
        <f>+IF(AG$2=$E62,$D62,IF(AG$2&gt;AG$257,0,IF($C62=AG$2,"PAGAR"&amp;" "&amp;TEXT($B62," #.##0,00"),0)))</f>
        <v>0</v>
      </c>
      <c r="AH62" s="111">
        <f>+IF(AH$2=$E62,$D62,IF(AH$2&gt;AH$257,0,IF($C62=AH$2,"PAGAR"&amp;" "&amp;TEXT($B62," #.##0,00"),0)))</f>
        <v>0</v>
      </c>
      <c r="AI62" s="111">
        <f>+IF(AI$2=$E62,$D62,IF(AI$2&gt;AI$257,0,IF($C62=AI$2,"PAGAR"&amp;" "&amp;TEXT($B62," #.##0,00"),0)))</f>
        <v>0</v>
      </c>
      <c r="AJ62" s="111">
        <f>+IF(AJ$2=$E62,$D62,IF(AJ$2&gt;AJ$257,0,IF($C62=AJ$2,"PAGAR"&amp;" "&amp;TEXT($B62," #.##0,00"),0)))</f>
        <v>0</v>
      </c>
      <c r="AK62" s="111">
        <f>+IF(AK$2=$E62,$D62,IF(AK$2&gt;AK$257,0,IF($C62=AK$2,"PAGAR"&amp;" "&amp;TEXT($B62," #.##0,00"),0)))</f>
        <v>0</v>
      </c>
      <c r="AL62" s="111">
        <f>+IF(AL$2=$E62,$D62,IF(AL$2&gt;AL$257,0,IF($C62=AL$2,"PAGAR"&amp;" "&amp;TEXT($B62," #.##0,00"),0)))</f>
        <v>0</v>
      </c>
      <c r="AM62" s="111">
        <f>+IF(AM$2=$E62,$D62,IF(AM$2&gt;AM$257,0,IF($C62=AM$2,"PAGAR"&amp;" "&amp;TEXT($B62," #.##0,00"),0)))</f>
        <v>0</v>
      </c>
      <c r="AN62" s="111">
        <f t="shared" ca="1" si="11"/>
        <v>0</v>
      </c>
      <c r="AO62" s="287">
        <f t="shared" si="12"/>
        <v>0</v>
      </c>
      <c r="AQ62" s="223"/>
      <c r="AR62" s="223"/>
      <c r="AS62" s="223"/>
      <c r="AT62" s="223"/>
      <c r="AU62" s="223"/>
      <c r="AV62" s="223"/>
      <c r="AW62" s="223"/>
      <c r="AX62" s="223"/>
      <c r="AY62" s="223"/>
      <c r="AZ62" s="224"/>
      <c r="BA62" s="224"/>
      <c r="BB62" s="224"/>
      <c r="BC62" s="224"/>
      <c r="BD62" s="224"/>
    </row>
    <row r="63" spans="1:56" x14ac:dyDescent="0.25">
      <c r="A63" s="212"/>
      <c r="B63" s="90"/>
      <c r="C63" s="91"/>
      <c r="D63" s="97"/>
      <c r="E63" s="166"/>
      <c r="F63" s="84">
        <f ca="1">+IF(TODAY()&lt;DATEVALUE(1&amp;D$1&amp;E$1),0,IF(C63&gt;0,IF(C63-SUM(I$255:AM$255)&lt;0,B63-SUM(I63:AM63,0),0),0))+IF(C63=-1,B63-SUM(J63:AM63))</f>
        <v>0</v>
      </c>
      <c r="G63" s="1" t="str">
        <f t="shared" si="10"/>
        <v>-</v>
      </c>
      <c r="H63" s="14"/>
      <c r="I63" s="111">
        <f>IF(I$2=$E63,$D63,IF(I$2&gt;I$257,0,IF($C63=I$2,"PAGAR"&amp;" "&amp;TEXT($B63," #.##0,00"),IF($C63=-1,"PAGAR"&amp;" "&amp;TEXT($B63," #.##0,00"),0))))</f>
        <v>0</v>
      </c>
      <c r="J63" s="111">
        <f>+IF(J$2=$E63,$D63,IF(J$2&gt;J$257,0,IF($C63=J$2,"PAGAR"&amp;" "&amp;TEXT($B63," #.##0,00"),0)))</f>
        <v>0</v>
      </c>
      <c r="K63" s="111">
        <f>+IF(K$2=$E63,$D63,IF(K$2&gt;K$257,0,IF($C63=K$2,"PAGAR"&amp;" "&amp;TEXT($B63," #.##0,00"),0)))</f>
        <v>0</v>
      </c>
      <c r="L63" s="111">
        <f>+IF(L$2=$E63,$D63,IF(L$2&gt;L$257,0,IF($C63=L$2,"PAGAR"&amp;" "&amp;TEXT($B63," #.##0,00"),0)))</f>
        <v>0</v>
      </c>
      <c r="M63" s="111">
        <f>+IF(M$2=$E63,$D63,IF(M$2&gt;M$257,0,IF($C63=M$2,"PAGAR"&amp;" "&amp;TEXT($B63," #.##0,00"),0)))</f>
        <v>0</v>
      </c>
      <c r="N63" s="111">
        <f>+IF(N$2=$E63,$D63,IF(N$2&gt;N$257,0,IF($C63=N$2,"PAGAR"&amp;" "&amp;TEXT($B63," #.##0,00"),0)))</f>
        <v>0</v>
      </c>
      <c r="O63" s="111">
        <f>+IF(O$2=$E63,$D63,IF(O$2&gt;O$257,0,IF($C63=O$2,"PAGAR"&amp;" "&amp;TEXT($B63," #.##0,00"),0)))</f>
        <v>0</v>
      </c>
      <c r="P63" s="111">
        <f>+IF(P$2=$E63,$D63,IF(P$2&gt;P$257,0,IF($C63=P$2,"PAGAR"&amp;" "&amp;TEXT($B63," #.##0,00"),0)))</f>
        <v>0</v>
      </c>
      <c r="Q63" s="111">
        <f>+IF(Q$2=$E63,$D63,IF(Q$2&gt;Q$257,0,IF($C63=Q$2,"PAGAR"&amp;" "&amp;TEXT($B63," #.##0,00"),0)))</f>
        <v>0</v>
      </c>
      <c r="R63" s="111">
        <f>+IF(R$2=$E63,$D63,IF(R$2&gt;R$257,0,IF($C63=R$2,"PAGAR"&amp;" "&amp;TEXT($B63," #.##0,00"),0)))</f>
        <v>0</v>
      </c>
      <c r="S63" s="111">
        <f>+IF(S$2=$E63,$D63,IF(S$2&gt;S$257,0,IF($C63=S$2,"PAGAR"&amp;" "&amp;TEXT($B63," #.##0,00"),0)))</f>
        <v>0</v>
      </c>
      <c r="T63" s="111">
        <f>+IF(T$2=$E63,$D63,IF(T$2&gt;T$257,0,IF($C63=T$2,"PAGAR"&amp;" "&amp;TEXT($B63," #.##0,00"),0)))</f>
        <v>0</v>
      </c>
      <c r="U63" s="111">
        <f>+IF(U$2=$E63,$D63,IF(U$2&gt;U$257,0,IF($C63=U$2,"PAGAR"&amp;" "&amp;TEXT($B63," #.##0,00"),0)))</f>
        <v>0</v>
      </c>
      <c r="V63" s="111">
        <f>+IF(V$2=$E63,$D63,IF(V$2&gt;V$257,0,IF($C63=V$2,"PAGAR"&amp;" "&amp;TEXT($B63," #.##0,00"),0)))</f>
        <v>0</v>
      </c>
      <c r="W63" s="111">
        <f>+IF(W$2=$E63,$D63,IF(W$2&gt;W$257,0,IF($C63=W$2,"PAGAR"&amp;" "&amp;TEXT($B63," #.##0,00"),0)))</f>
        <v>0</v>
      </c>
      <c r="X63" s="111">
        <f>+IF(X$2=$E63,$D63,IF(X$2&gt;X$257,0,IF($C63=X$2,"PAGAR"&amp;" "&amp;TEXT($B63," #.##0,00"),0)))</f>
        <v>0</v>
      </c>
      <c r="Y63" s="111">
        <f>+IF(Y$2=$E63,$D63,IF(Y$2&gt;Y$257,0,IF($C63=Y$2,"PAGAR"&amp;" "&amp;TEXT($B63," #.##0,00"),0)))</f>
        <v>0</v>
      </c>
      <c r="Z63" s="111">
        <f>+IF(Z$2=$E63,$D63,IF(Z$2&gt;Z$257,0,IF($C63=Z$2,"PAGAR"&amp;" "&amp;TEXT($B63," #.##0,00"),0)))</f>
        <v>0</v>
      </c>
      <c r="AA63" s="111">
        <f>+IF(AA$2=$E63,$D63,IF(AA$2&gt;AA$257,0,IF($C63=AA$2,"PAGAR"&amp;" "&amp;TEXT($B63," #.##0,00"),0)))</f>
        <v>0</v>
      </c>
      <c r="AB63" s="111">
        <f>+IF(AB$2=$E63,$D63,IF(AB$2&gt;AB$257,0,IF($C63=AB$2,"PAGAR"&amp;" "&amp;TEXT($B63," #.##0,00"),0)))</f>
        <v>0</v>
      </c>
      <c r="AC63" s="111">
        <f>+IF(AC$2=$E63,$D63,IF(AC$2&gt;AC$257,0,IF($C63=AC$2,"PAGAR"&amp;" "&amp;TEXT($B63," #.##0,00"),0)))</f>
        <v>0</v>
      </c>
      <c r="AD63" s="111">
        <f>+IF(AD$2=$E63,$D63,IF(AD$2&gt;AD$257,0,IF($C63=AD$2,"PAGAR"&amp;" "&amp;TEXT($B63," #.##0,00"),0)))</f>
        <v>0</v>
      </c>
      <c r="AE63" s="111">
        <f>+IF(AE$2=$E63,$D63,IF(AE$2&gt;AE$257,0,IF($C63=AE$2,"PAGAR"&amp;" "&amp;TEXT($B63," #.##0,00"),0)))</f>
        <v>0</v>
      </c>
      <c r="AF63" s="111">
        <f>+IF(AF$2=$E63,$D63,IF(AF$2&gt;AF$257,0,IF($C63=AF$2,"PAGAR"&amp;" "&amp;TEXT($B63," #.##0,00"),0)))</f>
        <v>0</v>
      </c>
      <c r="AG63" s="111">
        <f>+IF(AG$2=$E63,$D63,IF(AG$2&gt;AG$257,0,IF($C63=AG$2,"PAGAR"&amp;" "&amp;TEXT($B63," #.##0,00"),0)))</f>
        <v>0</v>
      </c>
      <c r="AH63" s="111">
        <f>+IF(AH$2=$E63,$D63,IF(AH$2&gt;AH$257,0,IF($C63=AH$2,"PAGAR"&amp;" "&amp;TEXT($B63," #.##0,00"),0)))</f>
        <v>0</v>
      </c>
      <c r="AI63" s="111">
        <f>+IF(AI$2=$E63,$D63,IF(AI$2&gt;AI$257,0,IF($C63=AI$2,"PAGAR"&amp;" "&amp;TEXT($B63," #.##0,00"),0)))</f>
        <v>0</v>
      </c>
      <c r="AJ63" s="111">
        <f>+IF(AJ$2=$E63,$D63,IF(AJ$2&gt;AJ$257,0,IF($C63=AJ$2,"PAGAR"&amp;" "&amp;TEXT($B63," #.##0,00"),0)))</f>
        <v>0</v>
      </c>
      <c r="AK63" s="111">
        <f>+IF(AK$2=$E63,$D63,IF(AK$2&gt;AK$257,0,IF($C63=AK$2,"PAGAR"&amp;" "&amp;TEXT($B63," #.##0,00"),0)))</f>
        <v>0</v>
      </c>
      <c r="AL63" s="111">
        <f>+IF(AL$2=$E63,$D63,IF(AL$2&gt;AL$257,0,IF($C63=AL$2,"PAGAR"&amp;" "&amp;TEXT($B63," #.##0,00"),0)))</f>
        <v>0</v>
      </c>
      <c r="AM63" s="111">
        <f>+IF(AM$2=$E63,$D63,IF(AM$2&gt;AM$257,0,IF($C63=AM$2,"PAGAR"&amp;" "&amp;TEXT($B63," #.##0,00"),0)))</f>
        <v>0</v>
      </c>
      <c r="AN63" s="111">
        <f t="shared" ca="1" si="11"/>
        <v>0</v>
      </c>
      <c r="AO63" s="287">
        <f t="shared" si="12"/>
        <v>0</v>
      </c>
      <c r="AQ63" s="223"/>
      <c r="AR63" s="223"/>
      <c r="AS63" s="223"/>
      <c r="AT63" s="223"/>
      <c r="AU63" s="223"/>
      <c r="AV63" s="223"/>
      <c r="AW63" s="223"/>
      <c r="AX63" s="223"/>
      <c r="AY63" s="223"/>
      <c r="AZ63" s="224"/>
      <c r="BA63" s="224"/>
      <c r="BB63" s="224"/>
      <c r="BC63" s="224"/>
      <c r="BD63" s="224"/>
    </row>
    <row r="64" spans="1:56" x14ac:dyDescent="0.25">
      <c r="A64" s="212"/>
      <c r="B64" s="90"/>
      <c r="C64" s="91"/>
      <c r="D64" s="97"/>
      <c r="E64" s="166"/>
      <c r="F64" s="84">
        <f ca="1">+IF(TODAY()&lt;DATEVALUE(1&amp;D$1&amp;E$1),0,IF(C64&gt;0,IF(C64-SUM(I$255:AM$255)&lt;0,B64-SUM(I64:AM64,0),0),0))+IF(C64=-1,B64-SUM(J64:AM64))</f>
        <v>0</v>
      </c>
      <c r="G64" s="1" t="str">
        <f t="shared" si="10"/>
        <v>-</v>
      </c>
      <c r="H64" s="14"/>
      <c r="I64" s="111">
        <f>IF(I$2=$E64,$D64,IF(I$2&gt;I$257,0,IF($C64=I$2,"PAGAR"&amp;" "&amp;TEXT($B64," #.##0,00"),IF($C64=-1,"PAGAR"&amp;" "&amp;TEXT($B64," #.##0,00"),0))))</f>
        <v>0</v>
      </c>
      <c r="J64" s="111">
        <f>+IF(J$2=$E64,$D64,IF(J$2&gt;J$257,0,IF($C64=J$2,"PAGAR"&amp;" "&amp;TEXT($B64," #.##0,00"),0)))</f>
        <v>0</v>
      </c>
      <c r="K64" s="111">
        <f>+IF(K$2=$E64,$D64,IF(K$2&gt;K$257,0,IF($C64=K$2,"PAGAR"&amp;" "&amp;TEXT($B64," #.##0,00"),0)))</f>
        <v>0</v>
      </c>
      <c r="L64" s="111">
        <f>+IF(L$2=$E64,$D64,IF(L$2&gt;L$257,0,IF($C64=L$2,"PAGAR"&amp;" "&amp;TEXT($B64," #.##0,00"),0)))</f>
        <v>0</v>
      </c>
      <c r="M64" s="111">
        <f>+IF(M$2=$E64,$D64,IF(M$2&gt;M$257,0,IF($C64=M$2,"PAGAR"&amp;" "&amp;TEXT($B64," #.##0,00"),0)))</f>
        <v>0</v>
      </c>
      <c r="N64" s="111">
        <f>+IF(N$2=$E64,$D64,IF(N$2&gt;N$257,0,IF($C64=N$2,"PAGAR"&amp;" "&amp;TEXT($B64," #.##0,00"),0)))</f>
        <v>0</v>
      </c>
      <c r="O64" s="111">
        <f>+IF(O$2=$E64,$D64,IF(O$2&gt;O$257,0,IF($C64=O$2,"PAGAR"&amp;" "&amp;TEXT($B64," #.##0,00"),0)))</f>
        <v>0</v>
      </c>
      <c r="P64" s="111">
        <f>+IF(P$2=$E64,$D64,IF(P$2&gt;P$257,0,IF($C64=P$2,"PAGAR"&amp;" "&amp;TEXT($B64," #.##0,00"),0)))</f>
        <v>0</v>
      </c>
      <c r="Q64" s="111">
        <f>+IF(Q$2=$E64,$D64,IF(Q$2&gt;Q$257,0,IF($C64=Q$2,"PAGAR"&amp;" "&amp;TEXT($B64," #.##0,00"),0)))</f>
        <v>0</v>
      </c>
      <c r="R64" s="111">
        <f>+IF(R$2=$E64,$D64,IF(R$2&gt;R$257,0,IF($C64=R$2,"PAGAR"&amp;" "&amp;TEXT($B64," #.##0,00"),0)))</f>
        <v>0</v>
      </c>
      <c r="S64" s="111">
        <f>+IF(S$2=$E64,$D64,IF(S$2&gt;S$257,0,IF($C64=S$2,"PAGAR"&amp;" "&amp;TEXT($B64," #.##0,00"),0)))</f>
        <v>0</v>
      </c>
      <c r="T64" s="111">
        <f>+IF(T$2=$E64,$D64,IF(T$2&gt;T$257,0,IF($C64=T$2,"PAGAR"&amp;" "&amp;TEXT($B64," #.##0,00"),0)))</f>
        <v>0</v>
      </c>
      <c r="U64" s="111">
        <f>+IF(U$2=$E64,$D64,IF(U$2&gt;U$257,0,IF($C64=U$2,"PAGAR"&amp;" "&amp;TEXT($B64," #.##0,00"),0)))</f>
        <v>0</v>
      </c>
      <c r="V64" s="111">
        <f>+IF(V$2=$E64,$D64,IF(V$2&gt;V$257,0,IF($C64=V$2,"PAGAR"&amp;" "&amp;TEXT($B64," #.##0,00"),0)))</f>
        <v>0</v>
      </c>
      <c r="W64" s="111">
        <f>+IF(W$2=$E64,$D64,IF(W$2&gt;W$257,0,IF($C64=W$2,"PAGAR"&amp;" "&amp;TEXT($B64," #.##0,00"),0)))</f>
        <v>0</v>
      </c>
      <c r="X64" s="111">
        <f>+IF(X$2=$E64,$D64,IF(X$2&gt;X$257,0,IF($C64=X$2,"PAGAR"&amp;" "&amp;TEXT($B64," #.##0,00"),0)))</f>
        <v>0</v>
      </c>
      <c r="Y64" s="111">
        <f>+IF(Y$2=$E64,$D64,IF(Y$2&gt;Y$257,0,IF($C64=Y$2,"PAGAR"&amp;" "&amp;TEXT($B64," #.##0,00"),0)))</f>
        <v>0</v>
      </c>
      <c r="Z64" s="111">
        <f>+IF(Z$2=$E64,$D64,IF(Z$2&gt;Z$257,0,IF($C64=Z$2,"PAGAR"&amp;" "&amp;TEXT($B64," #.##0,00"),0)))</f>
        <v>0</v>
      </c>
      <c r="AA64" s="111">
        <f>+IF(AA$2=$E64,$D64,IF(AA$2&gt;AA$257,0,IF($C64=AA$2,"PAGAR"&amp;" "&amp;TEXT($B64," #.##0,00"),0)))</f>
        <v>0</v>
      </c>
      <c r="AB64" s="111">
        <f>+IF(AB$2=$E64,$D64,IF(AB$2&gt;AB$257,0,IF($C64=AB$2,"PAGAR"&amp;" "&amp;TEXT($B64," #.##0,00"),0)))</f>
        <v>0</v>
      </c>
      <c r="AC64" s="111">
        <f>+IF(AC$2=$E64,$D64,IF(AC$2&gt;AC$257,0,IF($C64=AC$2,"PAGAR"&amp;" "&amp;TEXT($B64," #.##0,00"),0)))</f>
        <v>0</v>
      </c>
      <c r="AD64" s="111">
        <f>+IF(AD$2=$E64,$D64,IF(AD$2&gt;AD$257,0,IF($C64=AD$2,"PAGAR"&amp;" "&amp;TEXT($B64," #.##0,00"),0)))</f>
        <v>0</v>
      </c>
      <c r="AE64" s="111">
        <f>+IF(AE$2=$E64,$D64,IF(AE$2&gt;AE$257,0,IF($C64=AE$2,"PAGAR"&amp;" "&amp;TEXT($B64," #.##0,00"),0)))</f>
        <v>0</v>
      </c>
      <c r="AF64" s="111">
        <f>+IF(AF$2=$E64,$D64,IF(AF$2&gt;AF$257,0,IF($C64=AF$2,"PAGAR"&amp;" "&amp;TEXT($B64," #.##0,00"),0)))</f>
        <v>0</v>
      </c>
      <c r="AG64" s="111">
        <f>+IF(AG$2=$E64,$D64,IF(AG$2&gt;AG$257,0,IF($C64=AG$2,"PAGAR"&amp;" "&amp;TEXT($B64," #.##0,00"),0)))</f>
        <v>0</v>
      </c>
      <c r="AH64" s="111">
        <f>+IF(AH$2=$E64,$D64,IF(AH$2&gt;AH$257,0,IF($C64=AH$2,"PAGAR"&amp;" "&amp;TEXT($B64," #.##0,00"),0)))</f>
        <v>0</v>
      </c>
      <c r="AI64" s="111">
        <f>+IF(AI$2=$E64,$D64,IF(AI$2&gt;AI$257,0,IF($C64=AI$2,"PAGAR"&amp;" "&amp;TEXT($B64," #.##0,00"),0)))</f>
        <v>0</v>
      </c>
      <c r="AJ64" s="111">
        <f>+IF(AJ$2=$E64,$D64,IF(AJ$2&gt;AJ$257,0,IF($C64=AJ$2,"PAGAR"&amp;" "&amp;TEXT($B64," #.##0,00"),0)))</f>
        <v>0</v>
      </c>
      <c r="AK64" s="111">
        <f>+IF(AK$2=$E64,$D64,IF(AK$2&gt;AK$257,0,IF($C64=AK$2,"PAGAR"&amp;" "&amp;TEXT($B64," #.##0,00"),0)))</f>
        <v>0</v>
      </c>
      <c r="AL64" s="111">
        <f>+IF(AL$2=$E64,$D64,IF(AL$2&gt;AL$257,0,IF($C64=AL$2,"PAGAR"&amp;" "&amp;TEXT($B64," #.##0,00"),0)))</f>
        <v>0</v>
      </c>
      <c r="AM64" s="111">
        <f>+IF(AM$2=$E64,$D64,IF(AM$2&gt;AM$257,0,IF($C64=AM$2,"PAGAR"&amp;" "&amp;TEXT($B64," #.##0,00"),0)))</f>
        <v>0</v>
      </c>
      <c r="AN64" s="111">
        <f t="shared" ca="1" si="11"/>
        <v>0</v>
      </c>
      <c r="AO64" s="287">
        <f t="shared" si="12"/>
        <v>0</v>
      </c>
      <c r="AZ64" s="224"/>
      <c r="BA64" s="224"/>
      <c r="BB64" s="224"/>
      <c r="BC64" s="224"/>
      <c r="BD64" s="224"/>
    </row>
    <row r="65" spans="1:56" x14ac:dyDescent="0.25">
      <c r="A65" s="212"/>
      <c r="B65" s="90"/>
      <c r="C65" s="91"/>
      <c r="D65" s="97"/>
      <c r="E65" s="166"/>
      <c r="F65" s="84">
        <f ca="1">+IF(TODAY()&lt;DATEVALUE(1&amp;D$1&amp;E$1),0,IF(C65&gt;0,IF(C65-SUM(I$255:AM$255)&lt;0,B65-SUM(I65:AM65,0),0),0))+IF(C65=-1,B65-SUM(J65:AM65))</f>
        <v>0</v>
      </c>
      <c r="G65" s="1" t="str">
        <f t="shared" si="10"/>
        <v>-</v>
      </c>
      <c r="H65" s="14"/>
      <c r="I65" s="111">
        <f>IF(I$2=$E65,$D65,IF(I$2&gt;I$257,0,IF($C65=I$2,"PAGAR"&amp;" "&amp;TEXT($B65," #.##0,00"),IF($C65=-1,"PAGAR"&amp;" "&amp;TEXT($B65," #.##0,00"),0))))</f>
        <v>0</v>
      </c>
      <c r="J65" s="111">
        <f>+IF(J$2=$E65,$D65,IF(J$2&gt;J$257,0,IF($C65=J$2,"PAGAR"&amp;" "&amp;TEXT($B65," #.##0,00"),0)))</f>
        <v>0</v>
      </c>
      <c r="K65" s="111">
        <f>+IF(K$2=$E65,$D65,IF(K$2&gt;K$257,0,IF($C65=K$2,"PAGAR"&amp;" "&amp;TEXT($B65," #.##0,00"),0)))</f>
        <v>0</v>
      </c>
      <c r="L65" s="111">
        <f>+IF(L$2=$E65,$D65,IF(L$2&gt;L$257,0,IF($C65=L$2,"PAGAR"&amp;" "&amp;TEXT($B65," #.##0,00"),0)))</f>
        <v>0</v>
      </c>
      <c r="M65" s="111">
        <f>+IF(M$2=$E65,$D65,IF(M$2&gt;M$257,0,IF($C65=M$2,"PAGAR"&amp;" "&amp;TEXT($B65," #.##0,00"),0)))</f>
        <v>0</v>
      </c>
      <c r="N65" s="111">
        <f>+IF(N$2=$E65,$D65,IF(N$2&gt;N$257,0,IF($C65=N$2,"PAGAR"&amp;" "&amp;TEXT($B65," #.##0,00"),0)))</f>
        <v>0</v>
      </c>
      <c r="O65" s="111">
        <f>+IF(O$2=$E65,$D65,IF(O$2&gt;O$257,0,IF($C65=O$2,"PAGAR"&amp;" "&amp;TEXT($B65," #.##0,00"),0)))</f>
        <v>0</v>
      </c>
      <c r="P65" s="111">
        <f>+IF(P$2=$E65,$D65,IF(P$2&gt;P$257,0,IF($C65=P$2,"PAGAR"&amp;" "&amp;TEXT($B65," #.##0,00"),0)))</f>
        <v>0</v>
      </c>
      <c r="Q65" s="111">
        <f>+IF(Q$2=$E65,$D65,IF(Q$2&gt;Q$257,0,IF($C65=Q$2,"PAGAR"&amp;" "&amp;TEXT($B65," #.##0,00"),0)))</f>
        <v>0</v>
      </c>
      <c r="R65" s="111">
        <f>+IF(R$2=$E65,$D65,IF(R$2&gt;R$257,0,IF($C65=R$2,"PAGAR"&amp;" "&amp;TEXT($B65," #.##0,00"),0)))</f>
        <v>0</v>
      </c>
      <c r="S65" s="111">
        <f>+IF(S$2=$E65,$D65,IF(S$2&gt;S$257,0,IF($C65=S$2,"PAGAR"&amp;" "&amp;TEXT($B65," #.##0,00"),0)))</f>
        <v>0</v>
      </c>
      <c r="T65" s="111">
        <f>+IF(T$2=$E65,$D65,IF(T$2&gt;T$257,0,IF($C65=T$2,"PAGAR"&amp;" "&amp;TEXT($B65," #.##0,00"),0)))</f>
        <v>0</v>
      </c>
      <c r="U65" s="111">
        <f>+IF(U$2=$E65,$D65,IF(U$2&gt;U$257,0,IF($C65=U$2,"PAGAR"&amp;" "&amp;TEXT($B65," #.##0,00"),0)))</f>
        <v>0</v>
      </c>
      <c r="V65" s="111">
        <f>+IF(V$2=$E65,$D65,IF(V$2&gt;V$257,0,IF($C65=V$2,"PAGAR"&amp;" "&amp;TEXT($B65," #.##0,00"),0)))</f>
        <v>0</v>
      </c>
      <c r="W65" s="111">
        <f>+IF(W$2=$E65,$D65,IF(W$2&gt;W$257,0,IF($C65=W$2,"PAGAR"&amp;" "&amp;TEXT($B65," #.##0,00"),0)))</f>
        <v>0</v>
      </c>
      <c r="X65" s="111">
        <f>+IF(X$2=$E65,$D65,IF(X$2&gt;X$257,0,IF($C65=X$2,"PAGAR"&amp;" "&amp;TEXT($B65," #.##0,00"),0)))</f>
        <v>0</v>
      </c>
      <c r="Y65" s="111">
        <f>+IF(Y$2=$E65,$D65,IF(Y$2&gt;Y$257,0,IF($C65=Y$2,"PAGAR"&amp;" "&amp;TEXT($B65," #.##0,00"),0)))</f>
        <v>0</v>
      </c>
      <c r="Z65" s="111">
        <f>+IF(Z$2=$E65,$D65,IF(Z$2&gt;Z$257,0,IF($C65=Z$2,"PAGAR"&amp;" "&amp;TEXT($B65," #.##0,00"),0)))</f>
        <v>0</v>
      </c>
      <c r="AA65" s="111">
        <f>+IF(AA$2=$E65,$D65,IF(AA$2&gt;AA$257,0,IF($C65=AA$2,"PAGAR"&amp;" "&amp;TEXT($B65," #.##0,00"),0)))</f>
        <v>0</v>
      </c>
      <c r="AB65" s="111">
        <f>+IF(AB$2=$E65,$D65,IF(AB$2&gt;AB$257,0,IF($C65=AB$2,"PAGAR"&amp;" "&amp;TEXT($B65," #.##0,00"),0)))</f>
        <v>0</v>
      </c>
      <c r="AC65" s="111">
        <f>+IF(AC$2=$E65,$D65,IF(AC$2&gt;AC$257,0,IF($C65=AC$2,"PAGAR"&amp;" "&amp;TEXT($B65," #.##0,00"),0)))</f>
        <v>0</v>
      </c>
      <c r="AD65" s="111">
        <f>+IF(AD$2=$E65,$D65,IF(AD$2&gt;AD$257,0,IF($C65=AD$2,"PAGAR"&amp;" "&amp;TEXT($B65," #.##0,00"),0)))</f>
        <v>0</v>
      </c>
      <c r="AE65" s="111">
        <f>+IF(AE$2=$E65,$D65,IF(AE$2&gt;AE$257,0,IF($C65=AE$2,"PAGAR"&amp;" "&amp;TEXT($B65," #.##0,00"),0)))</f>
        <v>0</v>
      </c>
      <c r="AF65" s="111">
        <f>+IF(AF$2=$E65,$D65,IF(AF$2&gt;AF$257,0,IF($C65=AF$2,"PAGAR"&amp;" "&amp;TEXT($B65," #.##0,00"),0)))</f>
        <v>0</v>
      </c>
      <c r="AG65" s="111">
        <f>+IF(AG$2=$E65,$D65,IF(AG$2&gt;AG$257,0,IF($C65=AG$2,"PAGAR"&amp;" "&amp;TEXT($B65," #.##0,00"),0)))</f>
        <v>0</v>
      </c>
      <c r="AH65" s="111">
        <f>+IF(AH$2=$E65,$D65,IF(AH$2&gt;AH$257,0,IF($C65=AH$2,"PAGAR"&amp;" "&amp;TEXT($B65," #.##0,00"),0)))</f>
        <v>0</v>
      </c>
      <c r="AI65" s="111">
        <f>+IF(AI$2=$E65,$D65,IF(AI$2&gt;AI$257,0,IF($C65=AI$2,"PAGAR"&amp;" "&amp;TEXT($B65," #.##0,00"),0)))</f>
        <v>0</v>
      </c>
      <c r="AJ65" s="111">
        <f>+IF(AJ$2=$E65,$D65,IF(AJ$2&gt;AJ$257,0,IF($C65=AJ$2,"PAGAR"&amp;" "&amp;TEXT($B65," #.##0,00"),0)))</f>
        <v>0</v>
      </c>
      <c r="AK65" s="111">
        <f>+IF(AK$2=$E65,$D65,IF(AK$2&gt;AK$257,0,IF($C65=AK$2,"PAGAR"&amp;" "&amp;TEXT($B65," #.##0,00"),0)))</f>
        <v>0</v>
      </c>
      <c r="AL65" s="111">
        <f>+IF(AL$2=$E65,$D65,IF(AL$2&gt;AL$257,0,IF($C65=AL$2,"PAGAR"&amp;" "&amp;TEXT($B65," #.##0,00"),0)))</f>
        <v>0</v>
      </c>
      <c r="AM65" s="111">
        <f>+IF(AM$2=$E65,$D65,IF(AM$2&gt;AM$257,0,IF($C65=AM$2,"PAGAR"&amp;" "&amp;TEXT($B65," #.##0,00"),0)))</f>
        <v>0</v>
      </c>
      <c r="AN65" s="111">
        <f t="shared" ca="1" si="11"/>
        <v>0</v>
      </c>
      <c r="AO65" s="287">
        <f t="shared" si="12"/>
        <v>0</v>
      </c>
      <c r="AZ65" s="224"/>
      <c r="BA65" s="224"/>
      <c r="BB65" s="224"/>
      <c r="BC65" s="224"/>
      <c r="BD65" s="224"/>
    </row>
    <row r="66" spans="1:56" x14ac:dyDescent="0.25">
      <c r="A66" s="212"/>
      <c r="B66" s="90"/>
      <c r="C66" s="91"/>
      <c r="D66" s="97"/>
      <c r="E66" s="166"/>
      <c r="F66" s="84">
        <f ca="1">+IF(TODAY()&lt;DATEVALUE(1&amp;D$1&amp;E$1),0,IF(C66&gt;0,IF(C66-SUM(I$255:AM$255)&lt;0,B66-SUM(I66:AM66,0),0),0))+IF(C66=-1,B66-SUM(J66:AM66))</f>
        <v>0</v>
      </c>
      <c r="G66" s="1" t="str">
        <f t="shared" si="10"/>
        <v>-</v>
      </c>
      <c r="H66" s="14"/>
      <c r="I66" s="111">
        <f>IF(I$2=$E66,$D66,IF(I$2&gt;I$257,0,IF($C66=I$2,"PAGAR"&amp;" "&amp;TEXT($B66," #.##0,00"),IF($C66=-1,"PAGAR"&amp;" "&amp;TEXT($B66," #.##0,00"),0))))</f>
        <v>0</v>
      </c>
      <c r="J66" s="111">
        <f>+IF(J$2=$E66,$D66,IF(J$2&gt;J$257,0,IF($C66=J$2,"PAGAR"&amp;" "&amp;TEXT($B66," #.##0,00"),0)))</f>
        <v>0</v>
      </c>
      <c r="K66" s="111">
        <f>+IF(K$2=$E66,$D66,IF(K$2&gt;K$257,0,IF($C66=K$2,"PAGAR"&amp;" "&amp;TEXT($B66," #.##0,00"),0)))</f>
        <v>0</v>
      </c>
      <c r="L66" s="111">
        <f>+IF(L$2=$E66,$D66,IF(L$2&gt;L$257,0,IF($C66=L$2,"PAGAR"&amp;" "&amp;TEXT($B66," #.##0,00"),0)))</f>
        <v>0</v>
      </c>
      <c r="M66" s="111">
        <f>+IF(M$2=$E66,$D66,IF(M$2&gt;M$257,0,IF($C66=M$2,"PAGAR"&amp;" "&amp;TEXT($B66," #.##0,00"),0)))</f>
        <v>0</v>
      </c>
      <c r="N66" s="111">
        <f>+IF(N$2=$E66,$D66,IF(N$2&gt;N$257,0,IF($C66=N$2,"PAGAR"&amp;" "&amp;TEXT($B66," #.##0,00"),0)))</f>
        <v>0</v>
      </c>
      <c r="O66" s="111">
        <f>+IF(O$2=$E66,$D66,IF(O$2&gt;O$257,0,IF($C66=O$2,"PAGAR"&amp;" "&amp;TEXT($B66," #.##0,00"),0)))</f>
        <v>0</v>
      </c>
      <c r="P66" s="111">
        <f>+IF(P$2=$E66,$D66,IF(P$2&gt;P$257,0,IF($C66=P$2,"PAGAR"&amp;" "&amp;TEXT($B66," #.##0,00"),0)))</f>
        <v>0</v>
      </c>
      <c r="Q66" s="111">
        <f>+IF(Q$2=$E66,$D66,IF(Q$2&gt;Q$257,0,IF($C66=Q$2,"PAGAR"&amp;" "&amp;TEXT($B66," #.##0,00"),0)))</f>
        <v>0</v>
      </c>
      <c r="R66" s="111">
        <f>+IF(R$2=$E66,$D66,IF(R$2&gt;R$257,0,IF($C66=R$2,"PAGAR"&amp;" "&amp;TEXT($B66," #.##0,00"),0)))</f>
        <v>0</v>
      </c>
      <c r="S66" s="111">
        <f>+IF(S$2=$E66,$D66,IF(S$2&gt;S$257,0,IF($C66=S$2,"PAGAR"&amp;" "&amp;TEXT($B66," #.##0,00"),0)))</f>
        <v>0</v>
      </c>
      <c r="T66" s="111">
        <f>+IF(T$2=$E66,$D66,IF(T$2&gt;T$257,0,IF($C66=T$2,"PAGAR"&amp;" "&amp;TEXT($B66," #.##0,00"),0)))</f>
        <v>0</v>
      </c>
      <c r="U66" s="111">
        <f>+IF(U$2=$E66,$D66,IF(U$2&gt;U$257,0,IF($C66=U$2,"PAGAR"&amp;" "&amp;TEXT($B66," #.##0,00"),0)))</f>
        <v>0</v>
      </c>
      <c r="V66" s="111">
        <f>+IF(V$2=$E66,$D66,IF(V$2&gt;V$257,0,IF($C66=V$2,"PAGAR"&amp;" "&amp;TEXT($B66," #.##0,00"),0)))</f>
        <v>0</v>
      </c>
      <c r="W66" s="111">
        <f>+IF(W$2=$E66,$D66,IF(W$2&gt;W$257,0,IF($C66=W$2,"PAGAR"&amp;" "&amp;TEXT($B66," #.##0,00"),0)))</f>
        <v>0</v>
      </c>
      <c r="X66" s="111">
        <f>+IF(X$2=$E66,$D66,IF(X$2&gt;X$257,0,IF($C66=X$2,"PAGAR"&amp;" "&amp;TEXT($B66," #.##0,00"),0)))</f>
        <v>0</v>
      </c>
      <c r="Y66" s="111">
        <f>+IF(Y$2=$E66,$D66,IF(Y$2&gt;Y$257,0,IF($C66=Y$2,"PAGAR"&amp;" "&amp;TEXT($B66," #.##0,00"),0)))</f>
        <v>0</v>
      </c>
      <c r="Z66" s="111">
        <f>+IF(Z$2=$E66,$D66,IF(Z$2&gt;Z$257,0,IF($C66=Z$2,"PAGAR"&amp;" "&amp;TEXT($B66," #.##0,00"),0)))</f>
        <v>0</v>
      </c>
      <c r="AA66" s="111">
        <f>+IF(AA$2=$E66,$D66,IF(AA$2&gt;AA$257,0,IF($C66=AA$2,"PAGAR"&amp;" "&amp;TEXT($B66," #.##0,00"),0)))</f>
        <v>0</v>
      </c>
      <c r="AB66" s="111">
        <f>+IF(AB$2=$E66,$D66,IF(AB$2&gt;AB$257,0,IF($C66=AB$2,"PAGAR"&amp;" "&amp;TEXT($B66," #.##0,00"),0)))</f>
        <v>0</v>
      </c>
      <c r="AC66" s="111">
        <f>+IF(AC$2=$E66,$D66,IF(AC$2&gt;AC$257,0,IF($C66=AC$2,"PAGAR"&amp;" "&amp;TEXT($B66," #.##0,00"),0)))</f>
        <v>0</v>
      </c>
      <c r="AD66" s="111">
        <f>+IF(AD$2=$E66,$D66,IF(AD$2&gt;AD$257,0,IF($C66=AD$2,"PAGAR"&amp;" "&amp;TEXT($B66," #.##0,00"),0)))</f>
        <v>0</v>
      </c>
      <c r="AE66" s="111">
        <f>+IF(AE$2=$E66,$D66,IF(AE$2&gt;AE$257,0,IF($C66=AE$2,"PAGAR"&amp;" "&amp;TEXT($B66," #.##0,00"),0)))</f>
        <v>0</v>
      </c>
      <c r="AF66" s="111">
        <f>+IF(AF$2=$E66,$D66,IF(AF$2&gt;AF$257,0,IF($C66=AF$2,"PAGAR"&amp;" "&amp;TEXT($B66," #.##0,00"),0)))</f>
        <v>0</v>
      </c>
      <c r="AG66" s="111">
        <f>+IF(AG$2=$E66,$D66,IF(AG$2&gt;AG$257,0,IF($C66=AG$2,"PAGAR"&amp;" "&amp;TEXT($B66," #.##0,00"),0)))</f>
        <v>0</v>
      </c>
      <c r="AH66" s="111">
        <f>+IF(AH$2=$E66,$D66,IF(AH$2&gt;AH$257,0,IF($C66=AH$2,"PAGAR"&amp;" "&amp;TEXT($B66," #.##0,00"),0)))</f>
        <v>0</v>
      </c>
      <c r="AI66" s="111">
        <f>+IF(AI$2=$E66,$D66,IF(AI$2&gt;AI$257,0,IF($C66=AI$2,"PAGAR"&amp;" "&amp;TEXT($B66," #.##0,00"),0)))</f>
        <v>0</v>
      </c>
      <c r="AJ66" s="111">
        <f>+IF(AJ$2=$E66,$D66,IF(AJ$2&gt;AJ$257,0,IF($C66=AJ$2,"PAGAR"&amp;" "&amp;TEXT($B66," #.##0,00"),0)))</f>
        <v>0</v>
      </c>
      <c r="AK66" s="111">
        <f>+IF(AK$2=$E66,$D66,IF(AK$2&gt;AK$257,0,IF($C66=AK$2,"PAGAR"&amp;" "&amp;TEXT($B66," #.##0,00"),0)))</f>
        <v>0</v>
      </c>
      <c r="AL66" s="111">
        <f>+IF(AL$2=$E66,$D66,IF(AL$2&gt;AL$257,0,IF($C66=AL$2,"PAGAR"&amp;" "&amp;TEXT($B66," #.##0,00"),0)))</f>
        <v>0</v>
      </c>
      <c r="AM66" s="111">
        <f>+IF(AM$2=$E66,$D66,IF(AM$2&gt;AM$257,0,IF($C66=AM$2,"PAGAR"&amp;" "&amp;TEXT($B66," #.##0,00"),0)))</f>
        <v>0</v>
      </c>
      <c r="AN66" s="111">
        <f t="shared" ca="1" si="11"/>
        <v>0</v>
      </c>
      <c r="AO66" s="287">
        <f t="shared" si="12"/>
        <v>0</v>
      </c>
      <c r="AZ66" s="224"/>
      <c r="BA66" s="224"/>
      <c r="BB66" s="224"/>
      <c r="BC66" s="224"/>
      <c r="BD66" s="224"/>
    </row>
    <row r="67" spans="1:56" ht="15.75" x14ac:dyDescent="0.25">
      <c r="A67" s="112" t="s">
        <v>76</v>
      </c>
      <c r="B67" s="6">
        <f>+SUM(B46:B66)</f>
        <v>1000</v>
      </c>
      <c r="C67" s="81"/>
      <c r="D67" s="6">
        <f>+SUM(D46:D66)</f>
        <v>0</v>
      </c>
      <c r="E67" s="81"/>
      <c r="F67" s="195">
        <f ca="1">+SUMIF(F46:F66,"&gt;0")</f>
        <v>500</v>
      </c>
      <c r="G67" s="3">
        <f t="shared" si="10"/>
        <v>0</v>
      </c>
      <c r="H67" s="5"/>
      <c r="I67" s="2">
        <f>+PLAN2!H68</f>
        <v>0</v>
      </c>
      <c r="J67" s="2">
        <f>+PLAN2!I68</f>
        <v>500</v>
      </c>
      <c r="K67" s="2">
        <f>+PLAN2!J68</f>
        <v>0</v>
      </c>
      <c r="L67" s="2">
        <f>+PLAN2!K68</f>
        <v>0</v>
      </c>
      <c r="M67" s="2">
        <f>+PLAN2!L68</f>
        <v>0</v>
      </c>
      <c r="N67" s="2">
        <f>+PLAN2!M68</f>
        <v>0</v>
      </c>
      <c r="O67" s="2">
        <f>+PLAN2!N68</f>
        <v>0</v>
      </c>
      <c r="P67" s="2">
        <f>+PLAN2!O68</f>
        <v>0</v>
      </c>
      <c r="Q67" s="2">
        <f>+PLAN2!P68</f>
        <v>0</v>
      </c>
      <c r="R67" s="2">
        <f>+PLAN2!Q68</f>
        <v>0</v>
      </c>
      <c r="S67" s="2">
        <f>+PLAN2!R68</f>
        <v>0</v>
      </c>
      <c r="T67" s="2">
        <f>+PLAN2!S68</f>
        <v>0</v>
      </c>
      <c r="U67" s="2">
        <f>+PLAN2!T68</f>
        <v>0</v>
      </c>
      <c r="V67" s="2">
        <f>+PLAN2!U68</f>
        <v>0</v>
      </c>
      <c r="W67" s="2">
        <f>+PLAN2!V68</f>
        <v>500</v>
      </c>
      <c r="X67" s="2">
        <f>+PLAN2!W68</f>
        <v>0</v>
      </c>
      <c r="Y67" s="2">
        <f>+PLAN2!X68</f>
        <v>0</v>
      </c>
      <c r="Z67" s="2">
        <f>+PLAN2!Y68</f>
        <v>0</v>
      </c>
      <c r="AA67" s="2">
        <f>+PLAN2!Z68</f>
        <v>0</v>
      </c>
      <c r="AB67" s="2">
        <f>+PLAN2!AA68</f>
        <v>0</v>
      </c>
      <c r="AC67" s="2">
        <f>+PLAN2!AB68</f>
        <v>0</v>
      </c>
      <c r="AD67" s="2">
        <f>+PLAN2!AC68</f>
        <v>0</v>
      </c>
      <c r="AE67" s="2">
        <f>+PLAN2!AD68</f>
        <v>0</v>
      </c>
      <c r="AF67" s="2">
        <f>+PLAN2!AE68</f>
        <v>0</v>
      </c>
      <c r="AG67" s="2">
        <f>+PLAN2!AF68</f>
        <v>0</v>
      </c>
      <c r="AH67" s="2">
        <f>+PLAN2!AG68</f>
        <v>0</v>
      </c>
      <c r="AI67" s="2">
        <f>+PLAN2!AH68</f>
        <v>0</v>
      </c>
      <c r="AJ67" s="2">
        <f>+PLAN2!AI68</f>
        <v>0</v>
      </c>
      <c r="AK67" s="2">
        <f>+PLAN2!AJ68</f>
        <v>0</v>
      </c>
      <c r="AL67" s="2">
        <f>+PLAN2!AK68</f>
        <v>0</v>
      </c>
      <c r="AM67" s="2">
        <f>+PLAN2!AL68</f>
        <v>0</v>
      </c>
      <c r="AN67" s="2">
        <f ca="1">SUM(AN46:AN66)</f>
        <v>0</v>
      </c>
      <c r="AO67" s="288"/>
      <c r="AZ67" s="224"/>
      <c r="BA67" s="224"/>
      <c r="BB67" s="224"/>
      <c r="BC67" s="224"/>
      <c r="BD67" s="224"/>
    </row>
    <row r="68" spans="1:56" x14ac:dyDescent="0.25">
      <c r="A68" s="211" t="s">
        <v>50</v>
      </c>
      <c r="B68" s="109"/>
      <c r="C68" s="109"/>
      <c r="D68" s="109"/>
      <c r="E68" s="109"/>
      <c r="F68" s="109"/>
      <c r="G68" s="109"/>
      <c r="H68" s="11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10"/>
      <c r="AN68" s="13"/>
      <c r="AO68" s="285"/>
      <c r="AZ68" s="224"/>
      <c r="BA68" s="224"/>
      <c r="BB68" s="224"/>
      <c r="BC68" s="224"/>
      <c r="BD68" s="224"/>
    </row>
    <row r="69" spans="1:56" x14ac:dyDescent="0.25">
      <c r="A69" s="212"/>
      <c r="B69" s="90"/>
      <c r="C69" s="91"/>
      <c r="D69" s="97"/>
      <c r="E69" s="166"/>
      <c r="F69" s="84">
        <f ca="1">+IF(TODAY()&lt;DATEVALUE(1&amp;D$1&amp;E$1),0,IF(C69&gt;0,IF(C69-SUM(I$255:AM$255)&lt;0,B69-SUM(I69:AM69,0),0),0))+IF(C69=-1,B69-SUM(J69:AM69))</f>
        <v>0</v>
      </c>
      <c r="G69" s="1" t="str">
        <f t="shared" ref="G69:G89" si="13">+IF(B69=0,"-",D69/B69)</f>
        <v>-</v>
      </c>
      <c r="H69" s="14"/>
      <c r="I69" s="111">
        <f>IF(I$2=$E69,$D69,IF(I$2&gt;I$257,0,IF($C69=I$2,"PAGAR"&amp;" "&amp;TEXT($B69," #.##0,00"),IF($C69=-1,"PAGAR"&amp;" "&amp;TEXT($B69," #.##0,00"),0))))</f>
        <v>0</v>
      </c>
      <c r="J69" s="111">
        <f>+IF(J$2=$E69,$D69,IF(J$2&gt;J$257,0,IF($C69=J$2,"PAGAR"&amp;" "&amp;TEXT($B69," #.##0,00"),0)))</f>
        <v>0</v>
      </c>
      <c r="K69" s="111">
        <f>+IF(K$2=$E69,$D69,IF(K$2&gt;K$257,0,IF($C69=K$2,"PAGAR"&amp;" "&amp;TEXT($B69," #.##0,00"),0)))</f>
        <v>0</v>
      </c>
      <c r="L69" s="111">
        <f>+IF(L$2=$E69,$D69,IF(L$2&gt;L$257,0,IF($C69=L$2,"PAGAR"&amp;" "&amp;TEXT($B69," #.##0,00"),0)))</f>
        <v>0</v>
      </c>
      <c r="M69" s="111">
        <f>+IF(M$2=$E69,$D69,IF(M$2&gt;M$257,0,IF($C69=M$2,"PAGAR"&amp;" "&amp;TEXT($B69," #.##0,00"),0)))</f>
        <v>0</v>
      </c>
      <c r="N69" s="111">
        <f>+IF(N$2=$E69,$D69,IF(N$2&gt;N$257,0,IF($C69=N$2,"PAGAR"&amp;" "&amp;TEXT($B69," #.##0,00"),0)))</f>
        <v>0</v>
      </c>
      <c r="O69" s="111">
        <f>+IF(O$2=$E69,$D69,IF(O$2&gt;O$257,0,IF($C69=O$2,"PAGAR"&amp;" "&amp;TEXT($B69," #.##0,00"),0)))</f>
        <v>0</v>
      </c>
      <c r="P69" s="111">
        <f>+IF(P$2=$E69,$D69,IF(P$2&gt;P$257,0,IF($C69=P$2,"PAGAR"&amp;" "&amp;TEXT($B69," #.##0,00"),0)))</f>
        <v>0</v>
      </c>
      <c r="Q69" s="111">
        <f>+IF(Q$2=$E69,$D69,IF(Q$2&gt;Q$257,0,IF($C69=Q$2,"PAGAR"&amp;" "&amp;TEXT($B69," #.##0,00"),0)))</f>
        <v>0</v>
      </c>
      <c r="R69" s="111">
        <f>+IF(R$2=$E69,$D69,IF(R$2&gt;R$257,0,IF($C69=R$2,"PAGAR"&amp;" "&amp;TEXT($B69," #.##0,00"),0)))</f>
        <v>0</v>
      </c>
      <c r="S69" s="111">
        <f>+IF(S$2=$E69,$D69,IF(S$2&gt;S$257,0,IF($C69=S$2,"PAGAR"&amp;" "&amp;TEXT($B69," #.##0,00"),0)))</f>
        <v>0</v>
      </c>
      <c r="T69" s="111">
        <f>+IF(T$2=$E69,$D69,IF(T$2&gt;T$257,0,IF($C69=T$2,"PAGAR"&amp;" "&amp;TEXT($B69," #.##0,00"),0)))</f>
        <v>0</v>
      </c>
      <c r="U69" s="111">
        <f>+IF(U$2=$E69,$D69,IF(U$2&gt;U$257,0,IF($C69=U$2,"PAGAR"&amp;" "&amp;TEXT($B69," #.##0,00"),0)))</f>
        <v>0</v>
      </c>
      <c r="V69" s="111">
        <f>+IF(V$2=$E69,$D69,IF(V$2&gt;V$257,0,IF($C69=V$2,"PAGAR"&amp;" "&amp;TEXT($B69," #.##0,00"),0)))</f>
        <v>0</v>
      </c>
      <c r="W69" s="111">
        <f>+IF(W$2=$E69,$D69,IF(W$2&gt;W$257,0,IF($C69=W$2,"PAGAR"&amp;" "&amp;TEXT($B69," #.##0,00"),0)))</f>
        <v>0</v>
      </c>
      <c r="X69" s="111">
        <f>+IF(X$2=$E69,$D69,IF(X$2&gt;X$257,0,IF($C69=X$2,"PAGAR"&amp;" "&amp;TEXT($B69," #.##0,00"),0)))</f>
        <v>0</v>
      </c>
      <c r="Y69" s="111">
        <f>+IF(Y$2=$E69,$D69,IF(Y$2&gt;Y$257,0,IF($C69=Y$2,"PAGAR"&amp;" "&amp;TEXT($B69," #.##0,00"),0)))</f>
        <v>0</v>
      </c>
      <c r="Z69" s="111">
        <f>+IF(Z$2=$E69,$D69,IF(Z$2&gt;Z$257,0,IF($C69=Z$2,"PAGAR"&amp;" "&amp;TEXT($B69," #.##0,00"),0)))</f>
        <v>0</v>
      </c>
      <c r="AA69" s="111">
        <f>+IF(AA$2=$E69,$D69,IF(AA$2&gt;AA$257,0,IF($C69=AA$2,"PAGAR"&amp;" "&amp;TEXT($B69," #.##0,00"),0)))</f>
        <v>0</v>
      </c>
      <c r="AB69" s="111">
        <f>+IF(AB$2=$E69,$D69,IF(AB$2&gt;AB$257,0,IF($C69=AB$2,"PAGAR"&amp;" "&amp;TEXT($B69," #.##0,00"),0)))</f>
        <v>0</v>
      </c>
      <c r="AC69" s="111">
        <f>+IF(AC$2=$E69,$D69,IF(AC$2&gt;AC$257,0,IF($C69=AC$2,"PAGAR"&amp;" "&amp;TEXT($B69," #.##0,00"),0)))</f>
        <v>0</v>
      </c>
      <c r="AD69" s="111">
        <f>+IF(AD$2=$E69,$D69,IF(AD$2&gt;AD$257,0,IF($C69=AD$2,"PAGAR"&amp;" "&amp;TEXT($B69," #.##0,00"),0)))</f>
        <v>0</v>
      </c>
      <c r="AE69" s="111">
        <f>+IF(AE$2=$E69,$D69,IF(AE$2&gt;AE$257,0,IF($C69=AE$2,"PAGAR"&amp;" "&amp;TEXT($B69," #.##0,00"),0)))</f>
        <v>0</v>
      </c>
      <c r="AF69" s="111">
        <f>+IF(AF$2=$E69,$D69,IF(AF$2&gt;AF$257,0,IF($C69=AF$2,"PAGAR"&amp;" "&amp;TEXT($B69," #.##0,00"),0)))</f>
        <v>0</v>
      </c>
      <c r="AG69" s="111">
        <f>+IF(AG$2=$E69,$D69,IF(AG$2&gt;AG$257,0,IF($C69=AG$2,"PAGAR"&amp;" "&amp;TEXT($B69," #.##0,00"),0)))</f>
        <v>0</v>
      </c>
      <c r="AH69" s="111">
        <f>+IF(AH$2=$E69,$D69,IF(AH$2&gt;AH$257,0,IF($C69=AH$2,"PAGAR"&amp;" "&amp;TEXT($B69," #.##0,00"),0)))</f>
        <v>0</v>
      </c>
      <c r="AI69" s="111">
        <f>+IF(AI$2=$E69,$D69,IF(AI$2&gt;AI$257,0,IF($C69=AI$2,"PAGAR"&amp;" "&amp;TEXT($B69," #.##0,00"),0)))</f>
        <v>0</v>
      </c>
      <c r="AJ69" s="111">
        <f>+IF(AJ$2=$E69,$D69,IF(AJ$2&gt;AJ$257,0,IF($C69=AJ$2,"PAGAR"&amp;" "&amp;TEXT($B69," #.##0,00"),0)))</f>
        <v>0</v>
      </c>
      <c r="AK69" s="111">
        <f>+IF(AK$2=$E69,$D69,IF(AK$2&gt;AK$257,0,IF($C69=AK$2,"PAGAR"&amp;" "&amp;TEXT($B69," #.##0,00"),0)))</f>
        <v>0</v>
      </c>
      <c r="AL69" s="111">
        <f>+IF(AL$2=$E69,$D69,IF(AL$2&gt;AL$257,0,IF($C69=AL$2,"PAGAR"&amp;" "&amp;TEXT($B69," #.##0,00"),0)))</f>
        <v>0</v>
      </c>
      <c r="AM69" s="111">
        <f>+IF(AM$2=$E69,$D69,IF(AM$2&gt;AM$257,0,IF($C69=AM$2,"PAGAR"&amp;" "&amp;TEXT($B69," #.##0,00"),0)))</f>
        <v>0</v>
      </c>
      <c r="AN69" s="111">
        <f t="shared" ref="AN69:AN88" ca="1" si="14">+IF(F69&lt;0,-F69,0)</f>
        <v>0</v>
      </c>
      <c r="AO69" s="287">
        <f t="shared" ref="AO69:AO88" si="15">+IF(AND(C69=0,B69&gt;0),B69,0)</f>
        <v>0</v>
      </c>
      <c r="AZ69" s="224"/>
      <c r="BA69" s="224"/>
      <c r="BB69" s="224"/>
      <c r="BC69" s="224"/>
      <c r="BD69" s="224"/>
    </row>
    <row r="70" spans="1:56" x14ac:dyDescent="0.25">
      <c r="A70" s="212" t="s">
        <v>153</v>
      </c>
      <c r="B70" s="90">
        <v>524.07000000000005</v>
      </c>
      <c r="C70" s="91">
        <v>27</v>
      </c>
      <c r="D70" s="97"/>
      <c r="E70" s="166"/>
      <c r="F70" s="84">
        <f ca="1">+IF(TODAY()&lt;DATEVALUE(1&amp;D$1&amp;E$1),0,IF(C70&gt;0,IF(C70-SUM(I$255:AM$255)&lt;0,B70-SUM(I70:AM70,0),0),0))+IF(C70=-1,B70-SUM(J70:AM70))</f>
        <v>0</v>
      </c>
      <c r="G70" s="1">
        <f t="shared" si="13"/>
        <v>0</v>
      </c>
      <c r="H70" s="14"/>
      <c r="I70" s="111">
        <f>IF(I$2=$E70,$D70,IF(I$2&gt;I$257,0,IF($C70=I$2,"PAGAR"&amp;" "&amp;TEXT($B70," #.##0,00"),IF($C70=-1,"PAGAR"&amp;" "&amp;TEXT($B70," #.##0,00"),0))))</f>
        <v>0</v>
      </c>
      <c r="J70" s="111">
        <f>+IF(J$2=$E70,$D70,IF(J$2&gt;J$257,0,IF($C70=J$2,"PAGAR"&amp;" "&amp;TEXT($B70," #.##0,00"),0)))</f>
        <v>0</v>
      </c>
      <c r="K70" s="111">
        <f>+IF(K$2=$E70,$D70,IF(K$2&gt;K$257,0,IF($C70=K$2,"PAGAR"&amp;" "&amp;TEXT($B70," #.##0,00"),0)))</f>
        <v>0</v>
      </c>
      <c r="L70" s="111">
        <f>+IF(L$2=$E70,$D70,IF(L$2&gt;L$257,0,IF($C70=L$2,"PAGAR"&amp;" "&amp;TEXT($B70," #.##0,00"),0)))</f>
        <v>0</v>
      </c>
      <c r="M70" s="111">
        <f>+IF(M$2=$E70,$D70,IF(M$2&gt;M$257,0,IF($C70=M$2,"PAGAR"&amp;" "&amp;TEXT($B70," #.##0,00"),0)))</f>
        <v>0</v>
      </c>
      <c r="N70" s="111">
        <f>+IF(N$2=$E70,$D70,IF(N$2&gt;N$257,0,IF($C70=N$2,"PAGAR"&amp;" "&amp;TEXT($B70," #.##0,00"),0)))</f>
        <v>0</v>
      </c>
      <c r="O70" s="111">
        <f>+IF(O$2=$E70,$D70,IF(O$2&gt;O$257,0,IF($C70=O$2,"PAGAR"&amp;" "&amp;TEXT($B70," #.##0,00"),0)))</f>
        <v>0</v>
      </c>
      <c r="P70" s="111">
        <f>+IF(P$2=$E70,$D70,IF(P$2&gt;P$257,0,IF($C70=P$2,"PAGAR"&amp;" "&amp;TEXT($B70," #.##0,00"),0)))</f>
        <v>0</v>
      </c>
      <c r="Q70" s="111">
        <f>+IF(Q$2=$E70,$D70,IF(Q$2&gt;Q$257,0,IF($C70=Q$2,"PAGAR"&amp;" "&amp;TEXT($B70," #.##0,00"),0)))</f>
        <v>0</v>
      </c>
      <c r="R70" s="111">
        <f>+IF(R$2=$E70,$D70,IF(R$2&gt;R$257,0,IF($C70=R$2,"PAGAR"&amp;" "&amp;TEXT($B70," #.##0,00"),0)))</f>
        <v>0</v>
      </c>
      <c r="S70" s="111">
        <f>+IF(S$2=$E70,$D70,IF(S$2&gt;S$257,0,IF($C70=S$2,"PAGAR"&amp;" "&amp;TEXT($B70," #.##0,00"),0)))</f>
        <v>0</v>
      </c>
      <c r="T70" s="111">
        <f>+IF(T$2=$E70,$D70,IF(T$2&gt;T$257,0,IF($C70=T$2,"PAGAR"&amp;" "&amp;TEXT($B70," #.##0,00"),0)))</f>
        <v>0</v>
      </c>
      <c r="U70" s="111">
        <f>+IF(U$2=$E70,$D70,IF(U$2&gt;U$257,0,IF($C70=U$2,"PAGAR"&amp;" "&amp;TEXT($B70," #.##0,00"),0)))</f>
        <v>0</v>
      </c>
      <c r="V70" s="111">
        <f>+IF(V$2=$E70,$D70,IF(V$2&gt;V$257,0,IF($C70=V$2,"PAGAR"&amp;" "&amp;TEXT($B70," #.##0,00"),0)))</f>
        <v>0</v>
      </c>
      <c r="W70" s="111">
        <f>+IF(W$2=$E70,$D70,IF(W$2&gt;W$257,0,IF($C70=W$2,"PAGAR"&amp;" "&amp;TEXT($B70," #.##0,00"),0)))</f>
        <v>0</v>
      </c>
      <c r="X70" s="111">
        <f>+IF(X$2=$E70,$D70,IF(X$2&gt;X$257,0,IF($C70=X$2,"PAGAR"&amp;" "&amp;TEXT($B70," #.##0,00"),0)))</f>
        <v>0</v>
      </c>
      <c r="Y70" s="111">
        <f>+IF(Y$2=$E70,$D70,IF(Y$2&gt;Y$257,0,IF($C70=Y$2,"PAGAR"&amp;" "&amp;TEXT($B70," #.##0,00"),0)))</f>
        <v>0</v>
      </c>
      <c r="Z70" s="111">
        <f>+IF(Z$2=$E70,$D70,IF(Z$2&gt;Z$257,0,IF($C70=Z$2,"PAGAR"&amp;" "&amp;TEXT($B70," #.##0,00"),0)))</f>
        <v>0</v>
      </c>
      <c r="AA70" s="111">
        <f>+IF(AA$2=$E70,$D70,IF(AA$2&gt;AA$257,0,IF($C70=AA$2,"PAGAR"&amp;" "&amp;TEXT($B70," #.##0,00"),0)))</f>
        <v>0</v>
      </c>
      <c r="AB70" s="111">
        <f>+IF(AB$2=$E70,$D70,IF(AB$2&gt;AB$257,0,IF($C70=AB$2,"PAGAR"&amp;" "&amp;TEXT($B70," #.##0,00"),0)))</f>
        <v>0</v>
      </c>
      <c r="AC70" s="111">
        <f>+IF(AC$2=$E70,$D70,IF(AC$2&gt;AC$257,0,IF($C70=AC$2,"PAGAR"&amp;" "&amp;TEXT($B70," #.##0,00"),0)))</f>
        <v>0</v>
      </c>
      <c r="AD70" s="111">
        <f>+IF(AD$2=$E70,$D70,IF(AD$2&gt;AD$257,0,IF($C70=AD$2,"PAGAR"&amp;" "&amp;TEXT($B70," #.##0,00"),0)))</f>
        <v>0</v>
      </c>
      <c r="AE70" s="111">
        <f>+IF(AE$2=$E70,$D70,IF(AE$2&gt;AE$257,0,IF($C70=AE$2,"PAGAR"&amp;" "&amp;TEXT($B70," #.##0,00"),0)))</f>
        <v>0</v>
      </c>
      <c r="AF70" s="111">
        <f>+IF(AF$2=$E70,$D70,IF(AF$2&gt;AF$257,0,IF($C70=AF$2,"PAGAR"&amp;" "&amp;TEXT($B70," #.##0,00"),0)))</f>
        <v>0</v>
      </c>
      <c r="AG70" s="111">
        <f>+IF(AG$2=$E70,$D70,IF(AG$2&gt;AG$257,0,IF($C70=AG$2,"PAGAR"&amp;" "&amp;TEXT($B70," #.##0,00"),0)))</f>
        <v>0</v>
      </c>
      <c r="AH70" s="111">
        <f>+IF(AH$2=$E70,$D70,IF(AH$2&gt;AH$257,0,IF($C70=AH$2,"PAGAR"&amp;" "&amp;TEXT($B70," #.##0,00"),0)))</f>
        <v>0</v>
      </c>
      <c r="AI70" s="111" t="str">
        <f>+IF(AI$2=$E70,$D70,IF(AI$2&gt;AI$257,0,IF($C70=AI$2,"PAGAR"&amp;" "&amp;TEXT($B70," #.##0,00"),0)))</f>
        <v>PAGAR  524,07</v>
      </c>
      <c r="AJ70" s="111">
        <f>+IF(AJ$2=$E70,$D70,IF(AJ$2&gt;AJ$257,0,IF($C70=AJ$2,"PAGAR"&amp;" "&amp;TEXT($B70," #.##0,00"),0)))</f>
        <v>0</v>
      </c>
      <c r="AK70" s="111">
        <f>+IF(AK$2=$E70,$D70,IF(AK$2&gt;AK$257,0,IF($C70=AK$2,"PAGAR"&amp;" "&amp;TEXT($B70," #.##0,00"),0)))</f>
        <v>0</v>
      </c>
      <c r="AL70" s="111">
        <f>+IF(AL$2=$E70,$D70,IF(AL$2&gt;AL$257,0,IF($C70=AL$2,"PAGAR"&amp;" "&amp;TEXT($B70," #.##0,00"),0)))</f>
        <v>0</v>
      </c>
      <c r="AM70" s="111">
        <f>+IF(AM$2=$E70,$D70,IF(AM$2&gt;AM$257,0,IF($C70=AM$2,"PAGAR"&amp;" "&amp;TEXT($B70," #.##0,00"),0)))</f>
        <v>0</v>
      </c>
      <c r="AN70" s="111">
        <f t="shared" ca="1" si="14"/>
        <v>0</v>
      </c>
      <c r="AO70" s="287">
        <f t="shared" si="15"/>
        <v>0</v>
      </c>
      <c r="AZ70" s="224"/>
      <c r="BA70" s="224"/>
      <c r="BB70" s="224"/>
      <c r="BC70" s="224"/>
      <c r="BD70" s="224"/>
    </row>
    <row r="71" spans="1:56" x14ac:dyDescent="0.25">
      <c r="A71" s="212" t="s">
        <v>155</v>
      </c>
      <c r="B71" s="90">
        <v>1504.62</v>
      </c>
      <c r="C71" s="91">
        <v>10</v>
      </c>
      <c r="D71" s="97"/>
      <c r="E71" s="166"/>
      <c r="F71" s="84">
        <f ca="1">+IF(TODAY()&lt;DATEVALUE(1&amp;D$1&amp;E$1),0,IF(C71&gt;0,IF(C71-SUM(I$255:AM$255)&lt;0,B71-SUM(I71:AM71,0),0),0))+IF(C71=-1,B71-SUM(J71:AM71))</f>
        <v>1504.62</v>
      </c>
      <c r="G71" s="1">
        <f t="shared" si="13"/>
        <v>0</v>
      </c>
      <c r="H71" s="14"/>
      <c r="I71" s="111">
        <f>IF(I$2=$E71,$D71,IF(I$2&gt;I$257,0,IF($C71=I$2,"PAGAR"&amp;" "&amp;TEXT($B71," #.##0,00"),IF($C71=-1,"PAGAR"&amp;" "&amp;TEXT($B71," #.##0,00"),0))))</f>
        <v>0</v>
      </c>
      <c r="J71" s="111">
        <f>+IF(J$2=$E71,$D71,IF(J$2&gt;J$257,0,IF($C71=J$2,"PAGAR"&amp;" "&amp;TEXT($B71," #.##0,00"),0)))</f>
        <v>0</v>
      </c>
      <c r="K71" s="111">
        <f>+IF(K$2=$E71,$D71,IF(K$2&gt;K$257,0,IF($C71=K$2,"PAGAR"&amp;" "&amp;TEXT($B71," #.##0,00"),0)))</f>
        <v>0</v>
      </c>
      <c r="L71" s="111">
        <f>+IF(L$2=$E71,$D71,IF(L$2&gt;L$257,0,IF($C71=L$2,"PAGAR"&amp;" "&amp;TEXT($B71," #.##0,00"),0)))</f>
        <v>0</v>
      </c>
      <c r="M71" s="111">
        <f>+IF(M$2=$E71,$D71,IF(M$2&gt;M$257,0,IF($C71=M$2,"PAGAR"&amp;" "&amp;TEXT($B71," #.##0,00"),0)))</f>
        <v>0</v>
      </c>
      <c r="N71" s="111">
        <f>+IF(N$2=$E71,$D71,IF(N$2&gt;N$257,0,IF($C71=N$2,"PAGAR"&amp;" "&amp;TEXT($B71," #.##0,00"),0)))</f>
        <v>0</v>
      </c>
      <c r="O71" s="111">
        <f>+IF(O$2=$E71,$D71,IF(O$2&gt;O$257,0,IF($C71=O$2,"PAGAR"&amp;" "&amp;TEXT($B71," #.##0,00"),0)))</f>
        <v>0</v>
      </c>
      <c r="P71" s="111">
        <f>+IF(P$2=$E71,$D71,IF(P$2&gt;P$257,0,IF($C71=P$2,"PAGAR"&amp;" "&amp;TEXT($B71," #.##0,00"),0)))</f>
        <v>0</v>
      </c>
      <c r="Q71" s="111">
        <f>+IF(Q$2=$E71,$D71,IF(Q$2&gt;Q$257,0,IF($C71=Q$2,"PAGAR"&amp;" "&amp;TEXT($B71," #.##0,00"),0)))</f>
        <v>0</v>
      </c>
      <c r="R71" s="111" t="str">
        <f>+IF(R$2=$E71,$D71,IF(R$2&gt;R$257,0,IF($C71=R$2,"PAGAR"&amp;" "&amp;TEXT($B71," #.##0,00"),0)))</f>
        <v>PAGAR  1.504,62</v>
      </c>
      <c r="S71" s="111">
        <f>+IF(S$2=$E71,$D71,IF(S$2&gt;S$257,0,IF($C71=S$2,"PAGAR"&amp;" "&amp;TEXT($B71," #.##0,00"),0)))</f>
        <v>0</v>
      </c>
      <c r="T71" s="111">
        <f>+IF(T$2=$E71,$D71,IF(T$2&gt;T$257,0,IF($C71=T$2,"PAGAR"&amp;" "&amp;TEXT($B71," #.##0,00"),0)))</f>
        <v>0</v>
      </c>
      <c r="U71" s="111">
        <f>+IF(U$2=$E71,$D71,IF(U$2&gt;U$257,0,IF($C71=U$2,"PAGAR"&amp;" "&amp;TEXT($B71," #.##0,00"),0)))</f>
        <v>0</v>
      </c>
      <c r="V71" s="111">
        <f>+IF(V$2=$E71,$D71,IF(V$2&gt;V$257,0,IF($C71=V$2,"PAGAR"&amp;" "&amp;TEXT($B71," #.##0,00"),0)))</f>
        <v>0</v>
      </c>
      <c r="W71" s="111">
        <f>+IF(W$2=$E71,$D71,IF(W$2&gt;W$257,0,IF($C71=W$2,"PAGAR"&amp;" "&amp;TEXT($B71," #.##0,00"),0)))</f>
        <v>0</v>
      </c>
      <c r="X71" s="111">
        <f>+IF(X$2=$E71,$D71,IF(X$2&gt;X$257,0,IF($C71=X$2,"PAGAR"&amp;" "&amp;TEXT($B71," #.##0,00"),0)))</f>
        <v>0</v>
      </c>
      <c r="Y71" s="111">
        <f>+IF(Y$2=$E71,$D71,IF(Y$2&gt;Y$257,0,IF($C71=Y$2,"PAGAR"&amp;" "&amp;TEXT($B71," #.##0,00"),0)))</f>
        <v>0</v>
      </c>
      <c r="Z71" s="111">
        <f>+IF(Z$2=$E71,$D71,IF(Z$2&gt;Z$257,0,IF($C71=Z$2,"PAGAR"&amp;" "&amp;TEXT($B71," #.##0,00"),0)))</f>
        <v>0</v>
      </c>
      <c r="AA71" s="111">
        <f>+IF(AA$2=$E71,$D71,IF(AA$2&gt;AA$257,0,IF($C71=AA$2,"PAGAR"&amp;" "&amp;TEXT($B71," #.##0,00"),0)))</f>
        <v>0</v>
      </c>
      <c r="AB71" s="111">
        <f>+IF(AB$2=$E71,$D71,IF(AB$2&gt;AB$257,0,IF($C71=AB$2,"PAGAR"&amp;" "&amp;TEXT($B71," #.##0,00"),0)))</f>
        <v>0</v>
      </c>
      <c r="AC71" s="111">
        <f>+IF(AC$2=$E71,$D71,IF(AC$2&gt;AC$257,0,IF($C71=AC$2,"PAGAR"&amp;" "&amp;TEXT($B71," #.##0,00"),0)))</f>
        <v>0</v>
      </c>
      <c r="AD71" s="111">
        <f>+IF(AD$2=$E71,$D71,IF(AD$2&gt;AD$257,0,IF($C71=AD$2,"PAGAR"&amp;" "&amp;TEXT($B71," #.##0,00"),0)))</f>
        <v>0</v>
      </c>
      <c r="AE71" s="111">
        <f>+IF(AE$2=$E71,$D71,IF(AE$2&gt;AE$257,0,IF($C71=AE$2,"PAGAR"&amp;" "&amp;TEXT($B71," #.##0,00"),0)))</f>
        <v>0</v>
      </c>
      <c r="AF71" s="111">
        <f>+IF(AF$2=$E71,$D71,IF(AF$2&gt;AF$257,0,IF($C71=AF$2,"PAGAR"&amp;" "&amp;TEXT($B71," #.##0,00"),0)))</f>
        <v>0</v>
      </c>
      <c r="AG71" s="111">
        <f>+IF(AG$2=$E71,$D71,IF(AG$2&gt;AG$257,0,IF($C71=AG$2,"PAGAR"&amp;" "&amp;TEXT($B71," #.##0,00"),0)))</f>
        <v>0</v>
      </c>
      <c r="AH71" s="111">
        <f>+IF(AH$2=$E71,$D71,IF(AH$2&gt;AH$257,0,IF($C71=AH$2,"PAGAR"&amp;" "&amp;TEXT($B71," #.##0,00"),0)))</f>
        <v>0</v>
      </c>
      <c r="AI71" s="111">
        <f>+IF(AI$2=$E71,$D71,IF(AI$2&gt;AI$257,0,IF($C71=AI$2,"PAGAR"&amp;" "&amp;TEXT($B71," #.##0,00"),0)))</f>
        <v>0</v>
      </c>
      <c r="AJ71" s="111">
        <f>+IF(AJ$2=$E71,$D71,IF(AJ$2&gt;AJ$257,0,IF($C71=AJ$2,"PAGAR"&amp;" "&amp;TEXT($B71," #.##0,00"),0)))</f>
        <v>0</v>
      </c>
      <c r="AK71" s="111">
        <f>+IF(AK$2=$E71,$D71,IF(AK$2&gt;AK$257,0,IF($C71=AK$2,"PAGAR"&amp;" "&amp;TEXT($B71," #.##0,00"),0)))</f>
        <v>0</v>
      </c>
      <c r="AL71" s="111">
        <f>+IF(AL$2=$E71,$D71,IF(AL$2&gt;AL$257,0,IF($C71=AL$2,"PAGAR"&amp;" "&amp;TEXT($B71," #.##0,00"),0)))</f>
        <v>0</v>
      </c>
      <c r="AM71" s="111">
        <f>+IF(AM$2=$E71,$D71,IF(AM$2&gt;AM$257,0,IF($C71=AM$2,"PAGAR"&amp;" "&amp;TEXT($B71," #.##0,00"),0)))</f>
        <v>0</v>
      </c>
      <c r="AN71" s="111">
        <f t="shared" ca="1" si="14"/>
        <v>0</v>
      </c>
      <c r="AO71" s="287">
        <f t="shared" si="15"/>
        <v>0</v>
      </c>
      <c r="AZ71" s="224"/>
      <c r="BA71" s="224"/>
      <c r="BB71" s="224"/>
      <c r="BC71" s="224"/>
      <c r="BD71" s="224"/>
    </row>
    <row r="72" spans="1:56" x14ac:dyDescent="0.25">
      <c r="A72" s="221" t="s">
        <v>157</v>
      </c>
      <c r="B72" s="90">
        <v>6000</v>
      </c>
      <c r="C72" s="222">
        <v>0</v>
      </c>
      <c r="D72" s="97"/>
      <c r="E72" s="166"/>
      <c r="F72" s="84">
        <f ca="1">+IF(TODAY()&lt;DATEVALUE(1&amp;D$1&amp;E$1),0,IF(C72&gt;0,IF(C72-SUM(I$255:AM$255)&lt;0,B72-SUM(I72:AM72,0),0),0))+IF(C72=-1,B72-SUM(J72:AM72))</f>
        <v>0</v>
      </c>
      <c r="G72" s="1">
        <f t="shared" si="13"/>
        <v>0</v>
      </c>
      <c r="H72" s="14"/>
      <c r="I72" s="111">
        <f>IF(I$2=$E72,$D72,IF(I$2&gt;I$257,0,IF($C72=I$2,"PAGAR"&amp;" "&amp;TEXT($B72," #.##0,00"),IF($C72=-1,"PAGAR"&amp;" "&amp;TEXT($B72," #.##0,00"),0))))</f>
        <v>0</v>
      </c>
      <c r="J72" s="111">
        <f>+IF(J$2=$E72,$D72,IF(J$2&gt;J$257,0,IF($C72=J$2,"PAGAR"&amp;" "&amp;TEXT($B72," #.##0,00"),0)))</f>
        <v>0</v>
      </c>
      <c r="K72" s="111">
        <f>+IF(K$2=$E72,$D72,IF(K$2&gt;K$257,0,IF($C72=K$2,"PAGAR"&amp;" "&amp;TEXT($B72," #.##0,00"),0)))</f>
        <v>0</v>
      </c>
      <c r="L72" s="111">
        <f>+IF(L$2=$E72,$D72,IF(L$2&gt;L$257,0,IF($C72=L$2,"PAGAR"&amp;" "&amp;TEXT($B72," #.##0,00"),0)))</f>
        <v>0</v>
      </c>
      <c r="M72" s="111">
        <f>+IF(M$2=$E72,$D72,IF(M$2&gt;M$257,0,IF($C72=M$2,"PAGAR"&amp;" "&amp;TEXT($B72," #.##0,00"),0)))</f>
        <v>0</v>
      </c>
      <c r="N72" s="111">
        <f>+IF(N$2=$E72,$D72,IF(N$2&gt;N$257,0,IF($C72=N$2,"PAGAR"&amp;" "&amp;TEXT($B72," #.##0,00"),0)))</f>
        <v>0</v>
      </c>
      <c r="O72" s="111">
        <f>+IF(O$2=$E72,$D72,IF(O$2&gt;O$257,0,IF($C72=O$2,"PAGAR"&amp;" "&amp;TEXT($B72," #.##0,00"),0)))</f>
        <v>0</v>
      </c>
      <c r="P72" s="111">
        <f>+IF(P$2=$E72,$D72,IF(P$2&gt;P$257,0,IF($C72=P$2,"PAGAR"&amp;" "&amp;TEXT($B72," #.##0,00"),0)))</f>
        <v>0</v>
      </c>
      <c r="Q72" s="111">
        <f>+IF(Q$2=$E72,$D72,IF(Q$2&gt;Q$257,0,IF($C72=Q$2,"PAGAR"&amp;" "&amp;TEXT($B72," #.##0,00"),0)))</f>
        <v>0</v>
      </c>
      <c r="R72" s="111">
        <f>+IF(R$2=$E72,$D72,IF(R$2&gt;R$257,0,IF($C72=R$2,"PAGAR"&amp;" "&amp;TEXT($B72," #.##0,00"),0)))</f>
        <v>0</v>
      </c>
      <c r="S72" s="111">
        <f>+IF(S$2=$E72,$D72,IF(S$2&gt;S$257,0,IF($C72=S$2,"PAGAR"&amp;" "&amp;TEXT($B72," #.##0,00"),0)))</f>
        <v>0</v>
      </c>
      <c r="T72" s="111">
        <f>+IF(T$2=$E72,$D72,IF(T$2&gt;T$257,0,IF($C72=T$2,"PAGAR"&amp;" "&amp;TEXT($B72," #.##0,00"),0)))</f>
        <v>0</v>
      </c>
      <c r="U72" s="111">
        <f>+IF(U$2=$E72,$D72,IF(U$2&gt;U$257,0,IF($C72=U$2,"PAGAR"&amp;" "&amp;TEXT($B72," #.##0,00"),0)))</f>
        <v>0</v>
      </c>
      <c r="V72" s="111">
        <f>+IF(V$2=$E72,$D72,IF(V$2&gt;V$257,0,IF($C72=V$2,"PAGAR"&amp;" "&amp;TEXT($B72," #.##0,00"),0)))</f>
        <v>0</v>
      </c>
      <c r="W72" s="111">
        <f>+IF(W$2=$E72,$D72,IF(W$2&gt;W$257,0,IF($C72=W$2,"PAGAR"&amp;" "&amp;TEXT($B72," #.##0,00"),0)))</f>
        <v>0</v>
      </c>
      <c r="X72" s="111">
        <f>+IF(X$2=$E72,$D72,IF(X$2&gt;X$257,0,IF($C72=X$2,"PAGAR"&amp;" "&amp;TEXT($B72," #.##0,00"),0)))</f>
        <v>0</v>
      </c>
      <c r="Y72" s="111">
        <f>+IF(Y$2=$E72,$D72,IF(Y$2&gt;Y$257,0,IF($C72=Y$2,"PAGAR"&amp;" "&amp;TEXT($B72," #.##0,00"),0)))</f>
        <v>0</v>
      </c>
      <c r="Z72" s="111">
        <f>+IF(Z$2=$E72,$D72,IF(Z$2&gt;Z$257,0,IF($C72=Z$2,"PAGAR"&amp;" "&amp;TEXT($B72," #.##0,00"),0)))</f>
        <v>0</v>
      </c>
      <c r="AA72" s="111">
        <f>+IF(AA$2=$E72,$D72,IF(AA$2&gt;AA$257,0,IF($C72=AA$2,"PAGAR"&amp;" "&amp;TEXT($B72," #.##0,00"),0)))</f>
        <v>0</v>
      </c>
      <c r="AB72" s="111">
        <f>+IF(AB$2=$E72,$D72,IF(AB$2&gt;AB$257,0,IF($C72=AB$2,"PAGAR"&amp;" "&amp;TEXT($B72," #.##0,00"),0)))</f>
        <v>0</v>
      </c>
      <c r="AC72" s="111">
        <f>+IF(AC$2=$E72,$D72,IF(AC$2&gt;AC$257,0,IF($C72=AC$2,"PAGAR"&amp;" "&amp;TEXT($B72," #.##0,00"),0)))</f>
        <v>0</v>
      </c>
      <c r="AD72" s="111">
        <f>+IF(AD$2=$E72,$D72,IF(AD$2&gt;AD$257,0,IF($C72=AD$2,"PAGAR"&amp;" "&amp;TEXT($B72," #.##0,00"),0)))</f>
        <v>0</v>
      </c>
      <c r="AE72" s="111">
        <f>+IF(AE$2=$E72,$D72,IF(AE$2&gt;AE$257,0,IF($C72=AE$2,"PAGAR"&amp;" "&amp;TEXT($B72," #.##0,00"),0)))</f>
        <v>0</v>
      </c>
      <c r="AF72" s="111">
        <f>+IF(AF$2=$E72,$D72,IF(AF$2&gt;AF$257,0,IF($C72=AF$2,"PAGAR"&amp;" "&amp;TEXT($B72," #.##0,00"),0)))</f>
        <v>0</v>
      </c>
      <c r="AG72" s="111">
        <f>+IF(AG$2=$E72,$D72,IF(AG$2&gt;AG$257,0,IF($C72=AG$2,"PAGAR"&amp;" "&amp;TEXT($B72," #.##0,00"),0)))</f>
        <v>0</v>
      </c>
      <c r="AH72" s="111">
        <f>+IF(AH$2=$E72,$D72,IF(AH$2&gt;AH$257,0,IF($C72=AH$2,"PAGAR"&amp;" "&amp;TEXT($B72," #.##0,00"),0)))</f>
        <v>0</v>
      </c>
      <c r="AI72" s="111">
        <f>+IF(AI$2=$E72,$D72,IF(AI$2&gt;AI$257,0,IF($C72=AI$2,"PAGAR"&amp;" "&amp;TEXT($B72," #.##0,00"),0)))</f>
        <v>0</v>
      </c>
      <c r="AJ72" s="111">
        <f>+IF(AJ$2=$E72,$D72,IF(AJ$2&gt;AJ$257,0,IF($C72=AJ$2,"PAGAR"&amp;" "&amp;TEXT($B72," #.##0,00"),0)))</f>
        <v>0</v>
      </c>
      <c r="AK72" s="111">
        <f>+IF(AK$2=$E72,$D72,IF(AK$2&gt;AK$257,0,IF($C72=AK$2,"PAGAR"&amp;" "&amp;TEXT($B72," #.##0,00"),0)))</f>
        <v>0</v>
      </c>
      <c r="AL72" s="111">
        <f>+IF(AL$2=$E72,$D72,IF(AL$2&gt;AL$257,0,IF($C72=AL$2,"PAGAR"&amp;" "&amp;TEXT($B72," #.##0,00"),0)))</f>
        <v>0</v>
      </c>
      <c r="AM72" s="111">
        <f>+IF(AM$2=$E72,$D72,IF(AM$2&gt;AM$257,0,IF($C72=AM$2,"PAGAR"&amp;" "&amp;TEXT($B72," #.##0,00"),0)))</f>
        <v>0</v>
      </c>
      <c r="AN72" s="111">
        <f t="shared" ca="1" si="14"/>
        <v>0</v>
      </c>
      <c r="AO72" s="287">
        <f t="shared" si="15"/>
        <v>6000</v>
      </c>
      <c r="AZ72" s="224"/>
      <c r="BA72" s="224"/>
      <c r="BB72" s="224"/>
      <c r="BC72" s="224"/>
      <c r="BD72" s="224"/>
    </row>
    <row r="73" spans="1:56" x14ac:dyDescent="0.25">
      <c r="A73" s="221" t="s">
        <v>154</v>
      </c>
      <c r="B73" s="90">
        <v>3500</v>
      </c>
      <c r="C73" s="222">
        <v>0</v>
      </c>
      <c r="D73" s="97"/>
      <c r="E73" s="166"/>
      <c r="F73" s="84">
        <f ca="1">+IF(TODAY()&lt;DATEVALUE(1&amp;D$1&amp;E$1),0,IF(C73&gt;0,IF(C73-SUM(I$255:AM$255)&lt;0,B73-SUM(I73:AM73,0),0),0))+IF(C73=-1,B73-SUM(J73:AM73))</f>
        <v>0</v>
      </c>
      <c r="G73" s="1">
        <f t="shared" si="13"/>
        <v>0</v>
      </c>
      <c r="H73" s="14"/>
      <c r="I73" s="111">
        <f>IF(I$2=$E73,$D73,IF(I$2&gt;I$257,0,IF($C73=I$2,"PAGAR"&amp;" "&amp;TEXT($B73," #.##0,00"),IF($C73=-1,"PAGAR"&amp;" "&amp;TEXT($B73," #.##0,00"),0))))</f>
        <v>0</v>
      </c>
      <c r="J73" s="111">
        <f>+IF(J$2=$E73,$D73,IF(J$2&gt;J$257,0,IF($C73=J$2,"PAGAR"&amp;" "&amp;TEXT($B73," #.##0,00"),0)))</f>
        <v>0</v>
      </c>
      <c r="K73" s="111">
        <f>+IF(K$2=$E73,$D73,IF(K$2&gt;K$257,0,IF($C73=K$2,"PAGAR"&amp;" "&amp;TEXT($B73," #.##0,00"),0)))</f>
        <v>0</v>
      </c>
      <c r="L73" s="111">
        <f>+IF(L$2=$E73,$D73,IF(L$2&gt;L$257,0,IF($C73=L$2,"PAGAR"&amp;" "&amp;TEXT($B73," #.##0,00"),0)))</f>
        <v>0</v>
      </c>
      <c r="M73" s="111">
        <f>+IF(M$2=$E73,$D73,IF(M$2&gt;M$257,0,IF($C73=M$2,"PAGAR"&amp;" "&amp;TEXT($B73," #.##0,00"),0)))</f>
        <v>0</v>
      </c>
      <c r="N73" s="111">
        <f>+IF(N$2=$E73,$D73,IF(N$2&gt;N$257,0,IF($C73=N$2,"PAGAR"&amp;" "&amp;TEXT($B73," #.##0,00"),0)))</f>
        <v>0</v>
      </c>
      <c r="O73" s="111">
        <f>+IF(O$2=$E73,$D73,IF(O$2&gt;O$257,0,IF($C73=O$2,"PAGAR"&amp;" "&amp;TEXT($B73," #.##0,00"),0)))</f>
        <v>0</v>
      </c>
      <c r="P73" s="111">
        <f>+IF(P$2=$E73,$D73,IF(P$2&gt;P$257,0,IF($C73=P$2,"PAGAR"&amp;" "&amp;TEXT($B73," #.##0,00"),0)))</f>
        <v>0</v>
      </c>
      <c r="Q73" s="111">
        <f>+IF(Q$2=$E73,$D73,IF(Q$2&gt;Q$257,0,IF($C73=Q$2,"PAGAR"&amp;" "&amp;TEXT($B73," #.##0,00"),0)))</f>
        <v>0</v>
      </c>
      <c r="R73" s="111">
        <f>+IF(R$2=$E73,$D73,IF(R$2&gt;R$257,0,IF($C73=R$2,"PAGAR"&amp;" "&amp;TEXT($B73," #.##0,00"),0)))</f>
        <v>0</v>
      </c>
      <c r="S73" s="111">
        <f>+IF(S$2=$E73,$D73,IF(S$2&gt;S$257,0,IF($C73=S$2,"PAGAR"&amp;" "&amp;TEXT($B73," #.##0,00"),0)))</f>
        <v>0</v>
      </c>
      <c r="T73" s="111">
        <f>+IF(T$2=$E73,$D73,IF(T$2&gt;T$257,0,IF($C73=T$2,"PAGAR"&amp;" "&amp;TEXT($B73," #.##0,00"),0)))</f>
        <v>0</v>
      </c>
      <c r="U73" s="111">
        <f>+IF(U$2=$E73,$D73,IF(U$2&gt;U$257,0,IF($C73=U$2,"PAGAR"&amp;" "&amp;TEXT($B73," #.##0,00"),0)))</f>
        <v>0</v>
      </c>
      <c r="V73" s="111">
        <f>+IF(V$2=$E73,$D73,IF(V$2&gt;V$257,0,IF($C73=V$2,"PAGAR"&amp;" "&amp;TEXT($B73," #.##0,00"),0)))</f>
        <v>0</v>
      </c>
      <c r="W73" s="111">
        <f>+IF(W$2=$E73,$D73,IF(W$2&gt;W$257,0,IF($C73=W$2,"PAGAR"&amp;" "&amp;TEXT($B73," #.##0,00"),0)))</f>
        <v>0</v>
      </c>
      <c r="X73" s="111">
        <f>+IF(X$2=$E73,$D73,IF(X$2&gt;X$257,0,IF($C73=X$2,"PAGAR"&amp;" "&amp;TEXT($B73," #.##0,00"),0)))</f>
        <v>0</v>
      </c>
      <c r="Y73" s="111">
        <f>+IF(Y$2=$E73,$D73,IF(Y$2&gt;Y$257,0,IF($C73=Y$2,"PAGAR"&amp;" "&amp;TEXT($B73," #.##0,00"),0)))</f>
        <v>0</v>
      </c>
      <c r="Z73" s="111">
        <f>+IF(Z$2=$E73,$D73,IF(Z$2&gt;Z$257,0,IF($C73=Z$2,"PAGAR"&amp;" "&amp;TEXT($B73," #.##0,00"),0)))</f>
        <v>0</v>
      </c>
      <c r="AA73" s="111">
        <f>+IF(AA$2=$E73,$D73,IF(AA$2&gt;AA$257,0,IF($C73=AA$2,"PAGAR"&amp;" "&amp;TEXT($B73," #.##0,00"),0)))</f>
        <v>0</v>
      </c>
      <c r="AB73" s="111">
        <f>+IF(AB$2=$E73,$D73,IF(AB$2&gt;AB$257,0,IF($C73=AB$2,"PAGAR"&amp;" "&amp;TEXT($B73," #.##0,00"),0)))</f>
        <v>0</v>
      </c>
      <c r="AC73" s="111">
        <f>+IF(AC$2=$E73,$D73,IF(AC$2&gt;AC$257,0,IF($C73=AC$2,"PAGAR"&amp;" "&amp;TEXT($B73," #.##0,00"),0)))</f>
        <v>0</v>
      </c>
      <c r="AD73" s="111">
        <f>+IF(AD$2=$E73,$D73,IF(AD$2&gt;AD$257,0,IF($C73=AD$2,"PAGAR"&amp;" "&amp;TEXT($B73," #.##0,00"),0)))</f>
        <v>0</v>
      </c>
      <c r="AE73" s="111">
        <f>+IF(AE$2=$E73,$D73,IF(AE$2&gt;AE$257,0,IF($C73=AE$2,"PAGAR"&amp;" "&amp;TEXT($B73," #.##0,00"),0)))</f>
        <v>0</v>
      </c>
      <c r="AF73" s="111">
        <f>+IF(AF$2=$E73,$D73,IF(AF$2&gt;AF$257,0,IF($C73=AF$2,"PAGAR"&amp;" "&amp;TEXT($B73," #.##0,00"),0)))</f>
        <v>0</v>
      </c>
      <c r="AG73" s="111">
        <f>+IF(AG$2=$E73,$D73,IF(AG$2&gt;AG$257,0,IF($C73=AG$2,"PAGAR"&amp;" "&amp;TEXT($B73," #.##0,00"),0)))</f>
        <v>0</v>
      </c>
      <c r="AH73" s="111">
        <f>+IF(AH$2=$E73,$D73,IF(AH$2&gt;AH$257,0,IF($C73=AH$2,"PAGAR"&amp;" "&amp;TEXT($B73," #.##0,00"),0)))</f>
        <v>0</v>
      </c>
      <c r="AI73" s="111">
        <f>+IF(AI$2=$E73,$D73,IF(AI$2&gt;AI$257,0,IF($C73=AI$2,"PAGAR"&amp;" "&amp;TEXT($B73," #.##0,00"),0)))</f>
        <v>0</v>
      </c>
      <c r="AJ73" s="111">
        <f>+IF(AJ$2=$E73,$D73,IF(AJ$2&gt;AJ$257,0,IF($C73=AJ$2,"PAGAR"&amp;" "&amp;TEXT($B73," #.##0,00"),0)))</f>
        <v>0</v>
      </c>
      <c r="AK73" s="111">
        <f>+IF(AK$2=$E73,$D73,IF(AK$2&gt;AK$257,0,IF($C73=AK$2,"PAGAR"&amp;" "&amp;TEXT($B73," #.##0,00"),0)))</f>
        <v>0</v>
      </c>
      <c r="AL73" s="111">
        <f>+IF(AL$2=$E73,$D73,IF(AL$2&gt;AL$257,0,IF($C73=AL$2,"PAGAR"&amp;" "&amp;TEXT($B73," #.##0,00"),0)))</f>
        <v>0</v>
      </c>
      <c r="AM73" s="111">
        <f>+IF(AM$2=$E73,$D73,IF(AM$2&gt;AM$257,0,IF($C73=AM$2,"PAGAR"&amp;" "&amp;TEXT($B73," #.##0,00"),0)))</f>
        <v>0</v>
      </c>
      <c r="AN73" s="111">
        <f t="shared" ca="1" si="14"/>
        <v>0</v>
      </c>
      <c r="AO73" s="287">
        <f t="shared" si="15"/>
        <v>3500</v>
      </c>
      <c r="AZ73" s="224"/>
      <c r="BA73" s="224"/>
      <c r="BB73" s="224"/>
      <c r="BC73" s="224"/>
      <c r="BD73" s="224"/>
    </row>
    <row r="74" spans="1:56" x14ac:dyDescent="0.25">
      <c r="A74" s="212" t="s">
        <v>156</v>
      </c>
      <c r="B74" s="90">
        <v>2203.91</v>
      </c>
      <c r="C74" s="91">
        <v>-1</v>
      </c>
      <c r="D74" s="97"/>
      <c r="E74" s="166"/>
      <c r="F74" s="84">
        <f ca="1">+IF(TODAY()&lt;DATEVALUE(1&amp;D$1&amp;E$1),0,IF(C74&gt;0,IF(C74-SUM(I$255:AM$255)&lt;0,B74-SUM(I74:AM74,0),0),0))+IF(C74=-1,B74-SUM(J74:AM74))</f>
        <v>2203.91</v>
      </c>
      <c r="G74" s="1">
        <f t="shared" si="13"/>
        <v>0</v>
      </c>
      <c r="H74" s="14"/>
      <c r="I74" s="111" t="str">
        <f>IF(I$2=$E74,$D74,IF(I$2&gt;I$257,0,IF($C74=I$2,"PAGAR"&amp;" "&amp;TEXT($B74," #.##0,00"),IF($C74=-1,"PAGAR"&amp;" "&amp;TEXT($B74," #.##0,00"),0))))</f>
        <v>PAGAR  2.203,91</v>
      </c>
      <c r="J74" s="111">
        <f>+IF(J$2=$E74,$D74,IF(J$2&gt;J$257,0,IF($C74=J$2,"PAGAR"&amp;" "&amp;TEXT($B74," #.##0,00"),0)))</f>
        <v>0</v>
      </c>
      <c r="K74" s="111">
        <f>+IF(K$2=$E74,$D74,IF(K$2&gt;K$257,0,IF($C74=K$2,"PAGAR"&amp;" "&amp;TEXT($B74," #.##0,00"),0)))</f>
        <v>0</v>
      </c>
      <c r="L74" s="111">
        <f>+IF(L$2=$E74,$D74,IF(L$2&gt;L$257,0,IF($C74=L$2,"PAGAR"&amp;" "&amp;TEXT($B74," #.##0,00"),0)))</f>
        <v>0</v>
      </c>
      <c r="M74" s="111">
        <f>+IF(M$2=$E74,$D74,IF(M$2&gt;M$257,0,IF($C74=M$2,"PAGAR"&amp;" "&amp;TEXT($B74," #.##0,00"),0)))</f>
        <v>0</v>
      </c>
      <c r="N74" s="111">
        <f>+IF(N$2=$E74,$D74,IF(N$2&gt;N$257,0,IF($C74=N$2,"PAGAR"&amp;" "&amp;TEXT($B74," #.##0,00"),0)))</f>
        <v>0</v>
      </c>
      <c r="O74" s="111">
        <f>+IF(O$2=$E74,$D74,IF(O$2&gt;O$257,0,IF($C74=O$2,"PAGAR"&amp;" "&amp;TEXT($B74," #.##0,00"),0)))</f>
        <v>0</v>
      </c>
      <c r="P74" s="111">
        <f>+IF(P$2=$E74,$D74,IF(P$2&gt;P$257,0,IF($C74=P$2,"PAGAR"&amp;" "&amp;TEXT($B74," #.##0,00"),0)))</f>
        <v>0</v>
      </c>
      <c r="Q74" s="111">
        <f>+IF(Q$2=$E74,$D74,IF(Q$2&gt;Q$257,0,IF($C74=Q$2,"PAGAR"&amp;" "&amp;TEXT($B74," #.##0,00"),0)))</f>
        <v>0</v>
      </c>
      <c r="R74" s="111">
        <f>+IF(R$2=$E74,$D74,IF(R$2&gt;R$257,0,IF($C74=R$2,"PAGAR"&amp;" "&amp;TEXT($B74," #.##0,00"),0)))</f>
        <v>0</v>
      </c>
      <c r="S74" s="111">
        <f>+IF(S$2=$E74,$D74,IF(S$2&gt;S$257,0,IF($C74=S$2,"PAGAR"&amp;" "&amp;TEXT($B74," #.##0,00"),0)))</f>
        <v>0</v>
      </c>
      <c r="T74" s="111">
        <f>+IF(T$2=$E74,$D74,IF(T$2&gt;T$257,0,IF($C74=T$2,"PAGAR"&amp;" "&amp;TEXT($B74," #.##0,00"),0)))</f>
        <v>0</v>
      </c>
      <c r="U74" s="111">
        <f>+IF(U$2=$E74,$D74,IF(U$2&gt;U$257,0,IF($C74=U$2,"PAGAR"&amp;" "&amp;TEXT($B74," #.##0,00"),0)))</f>
        <v>0</v>
      </c>
      <c r="V74" s="111">
        <f>+IF(V$2=$E74,$D74,IF(V$2&gt;V$257,0,IF($C74=V$2,"PAGAR"&amp;" "&amp;TEXT($B74," #.##0,00"),0)))</f>
        <v>0</v>
      </c>
      <c r="W74" s="111">
        <f>+IF(W$2=$E74,$D74,IF(W$2&gt;W$257,0,IF($C74=W$2,"PAGAR"&amp;" "&amp;TEXT($B74," #.##0,00"),0)))</f>
        <v>0</v>
      </c>
      <c r="X74" s="111">
        <f>+IF(X$2=$E74,$D74,IF(X$2&gt;X$257,0,IF($C74=X$2,"PAGAR"&amp;" "&amp;TEXT($B74," #.##0,00"),0)))</f>
        <v>0</v>
      </c>
      <c r="Y74" s="111">
        <f>+IF(Y$2=$E74,$D74,IF(Y$2&gt;Y$257,0,IF($C74=Y$2,"PAGAR"&amp;" "&amp;TEXT($B74," #.##0,00"),0)))</f>
        <v>0</v>
      </c>
      <c r="Z74" s="111">
        <f>+IF(Z$2=$E74,$D74,IF(Z$2&gt;Z$257,0,IF($C74=Z$2,"PAGAR"&amp;" "&amp;TEXT($B74," #.##0,00"),0)))</f>
        <v>0</v>
      </c>
      <c r="AA74" s="111">
        <f>+IF(AA$2=$E74,$D74,IF(AA$2&gt;AA$257,0,IF($C74=AA$2,"PAGAR"&amp;" "&amp;TEXT($B74," #.##0,00"),0)))</f>
        <v>0</v>
      </c>
      <c r="AB74" s="111">
        <f>+IF(AB$2=$E74,$D74,IF(AB$2&gt;AB$257,0,IF($C74=AB$2,"PAGAR"&amp;" "&amp;TEXT($B74," #.##0,00"),0)))</f>
        <v>0</v>
      </c>
      <c r="AC74" s="111">
        <f>+IF(AC$2=$E74,$D74,IF(AC$2&gt;AC$257,0,IF($C74=AC$2,"PAGAR"&amp;" "&amp;TEXT($B74," #.##0,00"),0)))</f>
        <v>0</v>
      </c>
      <c r="AD74" s="111">
        <f>+IF(AD$2=$E74,$D74,IF(AD$2&gt;AD$257,0,IF($C74=AD$2,"PAGAR"&amp;" "&amp;TEXT($B74," #.##0,00"),0)))</f>
        <v>0</v>
      </c>
      <c r="AE74" s="111">
        <f>+IF(AE$2=$E74,$D74,IF(AE$2&gt;AE$257,0,IF($C74=AE$2,"PAGAR"&amp;" "&amp;TEXT($B74," #.##0,00"),0)))</f>
        <v>0</v>
      </c>
      <c r="AF74" s="111">
        <f>+IF(AF$2=$E74,$D74,IF(AF$2&gt;AF$257,0,IF($C74=AF$2,"PAGAR"&amp;" "&amp;TEXT($B74," #.##0,00"),0)))</f>
        <v>0</v>
      </c>
      <c r="AG74" s="111">
        <f>+IF(AG$2=$E74,$D74,IF(AG$2&gt;AG$257,0,IF($C74=AG$2,"PAGAR"&amp;" "&amp;TEXT($B74," #.##0,00"),0)))</f>
        <v>0</v>
      </c>
      <c r="AH74" s="111">
        <f>+IF(AH$2=$E74,$D74,IF(AH$2&gt;AH$257,0,IF($C74=AH$2,"PAGAR"&amp;" "&amp;TEXT($B74," #.##0,00"),0)))</f>
        <v>0</v>
      </c>
      <c r="AI74" s="111">
        <f>+IF(AI$2=$E74,$D74,IF(AI$2&gt;AI$257,0,IF($C74=AI$2,"PAGAR"&amp;" "&amp;TEXT($B74," #.##0,00"),0)))</f>
        <v>0</v>
      </c>
      <c r="AJ74" s="111">
        <f>+IF(AJ$2=$E74,$D74,IF(AJ$2&gt;AJ$257,0,IF($C74=AJ$2,"PAGAR"&amp;" "&amp;TEXT($B74," #.##0,00"),0)))</f>
        <v>0</v>
      </c>
      <c r="AK74" s="111">
        <f>+IF(AK$2=$E74,$D74,IF(AK$2&gt;AK$257,0,IF($C74=AK$2,"PAGAR"&amp;" "&amp;TEXT($B74," #.##0,00"),0)))</f>
        <v>0</v>
      </c>
      <c r="AL74" s="111">
        <f>+IF(AL$2=$E74,$D74,IF(AL$2&gt;AL$257,0,IF($C74=AL$2,"PAGAR"&amp;" "&amp;TEXT($B74," #.##0,00"),0)))</f>
        <v>0</v>
      </c>
      <c r="AM74" s="111">
        <f>+IF(AM$2=$E74,$D74,IF(AM$2&gt;AM$257,0,IF($C74=AM$2,"PAGAR"&amp;" "&amp;TEXT($B74," #.##0,00"),0)))</f>
        <v>0</v>
      </c>
      <c r="AN74" s="111">
        <f t="shared" ca="1" si="14"/>
        <v>0</v>
      </c>
      <c r="AO74" s="287">
        <f t="shared" si="15"/>
        <v>0</v>
      </c>
      <c r="AZ74" s="224"/>
      <c r="BA74" s="224"/>
      <c r="BB74" s="224"/>
      <c r="BC74" s="224"/>
      <c r="BD74" s="224"/>
    </row>
    <row r="75" spans="1:56" x14ac:dyDescent="0.25">
      <c r="A75" s="221" t="s">
        <v>159</v>
      </c>
      <c r="B75" s="90">
        <v>2200</v>
      </c>
      <c r="C75" s="222">
        <v>0</v>
      </c>
      <c r="D75" s="97"/>
      <c r="E75" s="166"/>
      <c r="F75" s="84">
        <f ca="1">+IF(TODAY()&lt;DATEVALUE(1&amp;D$1&amp;E$1),0,IF(C75&gt;0,IF(C75-SUM(I$255:AM$255)&lt;0,B75-SUM(I75:AM75,0),0),0))+IF(C75=-1,B75-SUM(J75:AM75))</f>
        <v>0</v>
      </c>
      <c r="G75" s="1">
        <f t="shared" si="13"/>
        <v>0</v>
      </c>
      <c r="H75" s="14"/>
      <c r="I75" s="111">
        <f>IF(I$2=$E75,$D75,IF(I$2&gt;I$257,0,IF($C75=I$2,"PAGAR"&amp;" "&amp;TEXT($B75," #.##0,00"),IF($C75=-1,"PAGAR"&amp;" "&amp;TEXT($B75," #.##0,00"),0))))</f>
        <v>0</v>
      </c>
      <c r="J75" s="111">
        <f>+IF(J$2=$E75,$D75,IF(J$2&gt;J$257,0,IF($C75=J$2,"PAGAR"&amp;" "&amp;TEXT($B75," #.##0,00"),0)))</f>
        <v>0</v>
      </c>
      <c r="K75" s="111">
        <f>+IF(K$2=$E75,$D75,IF(K$2&gt;K$257,0,IF($C75=K$2,"PAGAR"&amp;" "&amp;TEXT($B75," #.##0,00"),0)))</f>
        <v>0</v>
      </c>
      <c r="L75" s="111">
        <f>+IF(L$2=$E75,$D75,IF(L$2&gt;L$257,0,IF($C75=L$2,"PAGAR"&amp;" "&amp;TEXT($B75," #.##0,00"),0)))</f>
        <v>0</v>
      </c>
      <c r="M75" s="111">
        <f>+IF(M$2=$E75,$D75,IF(M$2&gt;M$257,0,IF($C75=M$2,"PAGAR"&amp;" "&amp;TEXT($B75," #.##0,00"),0)))</f>
        <v>0</v>
      </c>
      <c r="N75" s="111">
        <f>+IF(N$2=$E75,$D75,IF(N$2&gt;N$257,0,IF($C75=N$2,"PAGAR"&amp;" "&amp;TEXT($B75," #.##0,00"),0)))</f>
        <v>0</v>
      </c>
      <c r="O75" s="111">
        <f>+IF(O$2=$E75,$D75,IF(O$2&gt;O$257,0,IF($C75=O$2,"PAGAR"&amp;" "&amp;TEXT($B75," #.##0,00"),0)))</f>
        <v>0</v>
      </c>
      <c r="P75" s="111">
        <f>+IF(P$2=$E75,$D75,IF(P$2&gt;P$257,0,IF($C75=P$2,"PAGAR"&amp;" "&amp;TEXT($B75," #.##0,00"),0)))</f>
        <v>0</v>
      </c>
      <c r="Q75" s="111">
        <f>+IF(Q$2=$E75,$D75,IF(Q$2&gt;Q$257,0,IF($C75=Q$2,"PAGAR"&amp;" "&amp;TEXT($B75," #.##0,00"),0)))</f>
        <v>0</v>
      </c>
      <c r="R75" s="111">
        <f>+IF(R$2=$E75,$D75,IF(R$2&gt;R$257,0,IF($C75=R$2,"PAGAR"&amp;" "&amp;TEXT($B75," #.##0,00"),0)))</f>
        <v>0</v>
      </c>
      <c r="S75" s="111">
        <f>+IF(S$2=$E75,$D75,IF(S$2&gt;S$257,0,IF($C75=S$2,"PAGAR"&amp;" "&amp;TEXT($B75," #.##0,00"),0)))</f>
        <v>0</v>
      </c>
      <c r="T75" s="111">
        <f>+IF(T$2=$E75,$D75,IF(T$2&gt;T$257,0,IF($C75=T$2,"PAGAR"&amp;" "&amp;TEXT($B75," #.##0,00"),0)))</f>
        <v>0</v>
      </c>
      <c r="U75" s="111">
        <f>+IF(U$2=$E75,$D75,IF(U$2&gt;U$257,0,IF($C75=U$2,"PAGAR"&amp;" "&amp;TEXT($B75," #.##0,00"),0)))</f>
        <v>0</v>
      </c>
      <c r="V75" s="111">
        <f>+IF(V$2=$E75,$D75,IF(V$2&gt;V$257,0,IF($C75=V$2,"PAGAR"&amp;" "&amp;TEXT($B75," #.##0,00"),0)))</f>
        <v>0</v>
      </c>
      <c r="W75" s="111">
        <f>+IF(W$2=$E75,$D75,IF(W$2&gt;W$257,0,IF($C75=W$2,"PAGAR"&amp;" "&amp;TEXT($B75," #.##0,00"),0)))</f>
        <v>0</v>
      </c>
      <c r="X75" s="111">
        <f>+IF(X$2=$E75,$D75,IF(X$2&gt;X$257,0,IF($C75=X$2,"PAGAR"&amp;" "&amp;TEXT($B75," #.##0,00"),0)))</f>
        <v>0</v>
      </c>
      <c r="Y75" s="111">
        <f>+IF(Y$2=$E75,$D75,IF(Y$2&gt;Y$257,0,IF($C75=Y$2,"PAGAR"&amp;" "&amp;TEXT($B75," #.##0,00"),0)))</f>
        <v>0</v>
      </c>
      <c r="Z75" s="111">
        <f>+IF(Z$2=$E75,$D75,IF(Z$2&gt;Z$257,0,IF($C75=Z$2,"PAGAR"&amp;" "&amp;TEXT($B75," #.##0,00"),0)))</f>
        <v>0</v>
      </c>
      <c r="AA75" s="111">
        <f>+IF(AA$2=$E75,$D75,IF(AA$2&gt;AA$257,0,IF($C75=AA$2,"PAGAR"&amp;" "&amp;TEXT($B75," #.##0,00"),0)))</f>
        <v>0</v>
      </c>
      <c r="AB75" s="111">
        <f>+IF(AB$2=$E75,$D75,IF(AB$2&gt;AB$257,0,IF($C75=AB$2,"PAGAR"&amp;" "&amp;TEXT($B75," #.##0,00"),0)))</f>
        <v>0</v>
      </c>
      <c r="AC75" s="111">
        <f>+IF(AC$2=$E75,$D75,IF(AC$2&gt;AC$257,0,IF($C75=AC$2,"PAGAR"&amp;" "&amp;TEXT($B75," #.##0,00"),0)))</f>
        <v>0</v>
      </c>
      <c r="AD75" s="111">
        <f>+IF(AD$2=$E75,$D75,IF(AD$2&gt;AD$257,0,IF($C75=AD$2,"PAGAR"&amp;" "&amp;TEXT($B75," #.##0,00"),0)))</f>
        <v>0</v>
      </c>
      <c r="AE75" s="111">
        <f>+IF(AE$2=$E75,$D75,IF(AE$2&gt;AE$257,0,IF($C75=AE$2,"PAGAR"&amp;" "&amp;TEXT($B75," #.##0,00"),0)))</f>
        <v>0</v>
      </c>
      <c r="AF75" s="111">
        <f>+IF(AF$2=$E75,$D75,IF(AF$2&gt;AF$257,0,IF($C75=AF$2,"PAGAR"&amp;" "&amp;TEXT($B75," #.##0,00"),0)))</f>
        <v>0</v>
      </c>
      <c r="AG75" s="111">
        <f>+IF(AG$2=$E75,$D75,IF(AG$2&gt;AG$257,0,IF($C75=AG$2,"PAGAR"&amp;" "&amp;TEXT($B75," #.##0,00"),0)))</f>
        <v>0</v>
      </c>
      <c r="AH75" s="111">
        <f>+IF(AH$2=$E75,$D75,IF(AH$2&gt;AH$257,0,IF($C75=AH$2,"PAGAR"&amp;" "&amp;TEXT($B75," #.##0,00"),0)))</f>
        <v>0</v>
      </c>
      <c r="AI75" s="111">
        <f>+IF(AI$2=$E75,$D75,IF(AI$2&gt;AI$257,0,IF($C75=AI$2,"PAGAR"&amp;" "&amp;TEXT($B75," #.##0,00"),0)))</f>
        <v>0</v>
      </c>
      <c r="AJ75" s="111">
        <f>+IF(AJ$2=$E75,$D75,IF(AJ$2&gt;AJ$257,0,IF($C75=AJ$2,"PAGAR"&amp;" "&amp;TEXT($B75," #.##0,00"),0)))</f>
        <v>0</v>
      </c>
      <c r="AK75" s="111">
        <f>+IF(AK$2=$E75,$D75,IF(AK$2&gt;AK$257,0,IF($C75=AK$2,"PAGAR"&amp;" "&amp;TEXT($B75," #.##0,00"),0)))</f>
        <v>0</v>
      </c>
      <c r="AL75" s="111">
        <f>+IF(AL$2=$E75,$D75,IF(AL$2&gt;AL$257,0,IF($C75=AL$2,"PAGAR"&amp;" "&amp;TEXT($B75," #.##0,00"),0)))</f>
        <v>0</v>
      </c>
      <c r="AM75" s="111">
        <f>+IF(AM$2=$E75,$D75,IF(AM$2&gt;AM$257,0,IF($C75=AM$2,"PAGAR"&amp;" "&amp;TEXT($B75," #.##0,00"),0)))</f>
        <v>0</v>
      </c>
      <c r="AN75" s="111">
        <f t="shared" ca="1" si="14"/>
        <v>0</v>
      </c>
      <c r="AO75" s="287">
        <f t="shared" si="15"/>
        <v>2200</v>
      </c>
      <c r="AZ75" s="224"/>
      <c r="BA75" s="224"/>
      <c r="BB75" s="224"/>
      <c r="BC75" s="224"/>
      <c r="BD75" s="224"/>
    </row>
    <row r="76" spans="1:56" x14ac:dyDescent="0.25">
      <c r="A76" s="212" t="s">
        <v>158</v>
      </c>
      <c r="B76" s="90">
        <v>220</v>
      </c>
      <c r="C76" s="91">
        <v>15</v>
      </c>
      <c r="D76" s="97"/>
      <c r="E76" s="166"/>
      <c r="F76" s="84">
        <f ca="1">+IF(TODAY()&lt;DATEVALUE(1&amp;D$1&amp;E$1),0,IF(C76&gt;0,IF(C76-SUM(I$255:AM$255)&lt;0,B76-SUM(I76:AM76,0),0),0))+IF(C76=-1,B76-SUM(J76:AM76))</f>
        <v>0</v>
      </c>
      <c r="G76" s="1">
        <f t="shared" si="13"/>
        <v>0</v>
      </c>
      <c r="H76" s="14"/>
      <c r="I76" s="111">
        <f>IF(I$2=$E76,$D76,IF(I$2&gt;I$257,0,IF($C76=I$2,"PAGAR"&amp;" "&amp;TEXT($B76," #.##0,00"),IF($C76=-1,"PAGAR"&amp;" "&amp;TEXT($B76," #.##0,00"),0))))</f>
        <v>0</v>
      </c>
      <c r="J76" s="111">
        <f>+IF(J$2=$E76,$D76,IF(J$2&gt;J$257,0,IF($C76=J$2,"PAGAR"&amp;" "&amp;TEXT($B76," #.##0,00"),0)))</f>
        <v>0</v>
      </c>
      <c r="K76" s="111">
        <f>+IF(K$2=$E76,$D76,IF(K$2&gt;K$257,0,IF($C76=K$2,"PAGAR"&amp;" "&amp;TEXT($B76," #.##0,00"),0)))</f>
        <v>0</v>
      </c>
      <c r="L76" s="111">
        <f>+IF(L$2=$E76,$D76,IF(L$2&gt;L$257,0,IF($C76=L$2,"PAGAR"&amp;" "&amp;TEXT($B76," #.##0,00"),0)))</f>
        <v>0</v>
      </c>
      <c r="M76" s="111">
        <f>+IF(M$2=$E76,$D76,IF(M$2&gt;M$257,0,IF($C76=M$2,"PAGAR"&amp;" "&amp;TEXT($B76," #.##0,00"),0)))</f>
        <v>0</v>
      </c>
      <c r="N76" s="111">
        <f>+IF(N$2=$E76,$D76,IF(N$2&gt;N$257,0,IF($C76=N$2,"PAGAR"&amp;" "&amp;TEXT($B76," #.##0,00"),0)))</f>
        <v>0</v>
      </c>
      <c r="O76" s="111">
        <f>+IF(O$2=$E76,$D76,IF(O$2&gt;O$257,0,IF($C76=O$2,"PAGAR"&amp;" "&amp;TEXT($B76," #.##0,00"),0)))</f>
        <v>0</v>
      </c>
      <c r="P76" s="111">
        <f>+IF(P$2=$E76,$D76,IF(P$2&gt;P$257,0,IF($C76=P$2,"PAGAR"&amp;" "&amp;TEXT($B76," #.##0,00"),0)))</f>
        <v>0</v>
      </c>
      <c r="Q76" s="111">
        <f>+IF(Q$2=$E76,$D76,IF(Q$2&gt;Q$257,0,IF($C76=Q$2,"PAGAR"&amp;" "&amp;TEXT($B76," #.##0,00"),0)))</f>
        <v>0</v>
      </c>
      <c r="R76" s="111">
        <f>+IF(R$2=$E76,$D76,IF(R$2&gt;R$257,0,IF($C76=R$2,"PAGAR"&amp;" "&amp;TEXT($B76," #.##0,00"),0)))</f>
        <v>0</v>
      </c>
      <c r="S76" s="111">
        <f>+IF(S$2=$E76,$D76,IF(S$2&gt;S$257,0,IF($C76=S$2,"PAGAR"&amp;" "&amp;TEXT($B76," #.##0,00"),0)))</f>
        <v>0</v>
      </c>
      <c r="T76" s="111">
        <f>+IF(T$2=$E76,$D76,IF(T$2&gt;T$257,0,IF($C76=T$2,"PAGAR"&amp;" "&amp;TEXT($B76," #.##0,00"),0)))</f>
        <v>0</v>
      </c>
      <c r="U76" s="111">
        <f>+IF(U$2=$E76,$D76,IF(U$2&gt;U$257,0,IF($C76=U$2,"PAGAR"&amp;" "&amp;TEXT($B76," #.##0,00"),0)))</f>
        <v>0</v>
      </c>
      <c r="V76" s="111">
        <f>+IF(V$2=$E76,$D76,IF(V$2&gt;V$257,0,IF($C76=V$2,"PAGAR"&amp;" "&amp;TEXT($B76," #.##0,00"),0)))</f>
        <v>0</v>
      </c>
      <c r="W76" s="111" t="str">
        <f>+IF(W$2=$E76,$D76,IF(W$2&gt;W$257,0,IF($C76=W$2,"PAGAR"&amp;" "&amp;TEXT($B76," #.##0,00"),0)))</f>
        <v>PAGAR  220,00</v>
      </c>
      <c r="X76" s="111">
        <f>+IF(X$2=$E76,$D76,IF(X$2&gt;X$257,0,IF($C76=X$2,"PAGAR"&amp;" "&amp;TEXT($B76," #.##0,00"),0)))</f>
        <v>0</v>
      </c>
      <c r="Y76" s="111">
        <f>+IF(Y$2=$E76,$D76,IF(Y$2&gt;Y$257,0,IF($C76=Y$2,"PAGAR"&amp;" "&amp;TEXT($B76," #.##0,00"),0)))</f>
        <v>0</v>
      </c>
      <c r="Z76" s="111">
        <f>+IF(Z$2=$E76,$D76,IF(Z$2&gt;Z$257,0,IF($C76=Z$2,"PAGAR"&amp;" "&amp;TEXT($B76," #.##0,00"),0)))</f>
        <v>0</v>
      </c>
      <c r="AA76" s="111">
        <f>+IF(AA$2=$E76,$D76,IF(AA$2&gt;AA$257,0,IF($C76=AA$2,"PAGAR"&amp;" "&amp;TEXT($B76," #.##0,00"),0)))</f>
        <v>0</v>
      </c>
      <c r="AB76" s="111">
        <f>+IF(AB$2=$E76,$D76,IF(AB$2&gt;AB$257,0,IF($C76=AB$2,"PAGAR"&amp;" "&amp;TEXT($B76," #.##0,00"),0)))</f>
        <v>0</v>
      </c>
      <c r="AC76" s="111">
        <f>+IF(AC$2=$E76,$D76,IF(AC$2&gt;AC$257,0,IF($C76=AC$2,"PAGAR"&amp;" "&amp;TEXT($B76," #.##0,00"),0)))</f>
        <v>0</v>
      </c>
      <c r="AD76" s="111">
        <f>+IF(AD$2=$E76,$D76,IF(AD$2&gt;AD$257,0,IF($C76=AD$2,"PAGAR"&amp;" "&amp;TEXT($B76," #.##0,00"),0)))</f>
        <v>0</v>
      </c>
      <c r="AE76" s="111">
        <f>+IF(AE$2=$E76,$D76,IF(AE$2&gt;AE$257,0,IF($C76=AE$2,"PAGAR"&amp;" "&amp;TEXT($B76," #.##0,00"),0)))</f>
        <v>0</v>
      </c>
      <c r="AF76" s="111">
        <f>+IF(AF$2=$E76,$D76,IF(AF$2&gt;AF$257,0,IF($C76=AF$2,"PAGAR"&amp;" "&amp;TEXT($B76," #.##0,00"),0)))</f>
        <v>0</v>
      </c>
      <c r="AG76" s="111">
        <f>+IF(AG$2=$E76,$D76,IF(AG$2&gt;AG$257,0,IF($C76=AG$2,"PAGAR"&amp;" "&amp;TEXT($B76," #.##0,00"),0)))</f>
        <v>0</v>
      </c>
      <c r="AH76" s="111">
        <f>+IF(AH$2=$E76,$D76,IF(AH$2&gt;AH$257,0,IF($C76=AH$2,"PAGAR"&amp;" "&amp;TEXT($B76," #.##0,00"),0)))</f>
        <v>0</v>
      </c>
      <c r="AI76" s="111">
        <f>+IF(AI$2=$E76,$D76,IF(AI$2&gt;AI$257,0,IF($C76=AI$2,"PAGAR"&amp;" "&amp;TEXT($B76," #.##0,00"),0)))</f>
        <v>0</v>
      </c>
      <c r="AJ76" s="111">
        <f>+IF(AJ$2=$E76,$D76,IF(AJ$2&gt;AJ$257,0,IF($C76=AJ$2,"PAGAR"&amp;" "&amp;TEXT($B76," #.##0,00"),0)))</f>
        <v>0</v>
      </c>
      <c r="AK76" s="111">
        <f>+IF(AK$2=$E76,$D76,IF(AK$2&gt;AK$257,0,IF($C76=AK$2,"PAGAR"&amp;" "&amp;TEXT($B76," #.##0,00"),0)))</f>
        <v>0</v>
      </c>
      <c r="AL76" s="111">
        <f>+IF(AL$2=$E76,$D76,IF(AL$2&gt;AL$257,0,IF($C76=AL$2,"PAGAR"&amp;" "&amp;TEXT($B76," #.##0,00"),0)))</f>
        <v>0</v>
      </c>
      <c r="AM76" s="111">
        <f>+IF(AM$2=$E76,$D76,IF(AM$2&gt;AM$257,0,IF($C76=AM$2,"PAGAR"&amp;" "&amp;TEXT($B76," #.##0,00"),0)))</f>
        <v>0</v>
      </c>
      <c r="AN76" s="111">
        <f t="shared" ca="1" si="14"/>
        <v>0</v>
      </c>
      <c r="AO76" s="287">
        <f t="shared" si="15"/>
        <v>0</v>
      </c>
      <c r="AZ76" s="224"/>
      <c r="BA76" s="224"/>
      <c r="BB76" s="224"/>
      <c r="BC76" s="224"/>
      <c r="BD76" s="224"/>
    </row>
    <row r="77" spans="1:56" x14ac:dyDescent="0.25">
      <c r="A77" s="212"/>
      <c r="B77" s="90"/>
      <c r="C77" s="91"/>
      <c r="D77" s="97"/>
      <c r="E77" s="166"/>
      <c r="F77" s="84">
        <f ca="1">+IF(TODAY()&lt;DATEVALUE(1&amp;D$1&amp;E$1),0,IF(C77&gt;0,IF(C77-SUM(I$255:AM$255)&lt;0,B77-SUM(I77:AM77,0),0),0))+IF(C77=-1,B77-SUM(J77:AM77))</f>
        <v>0</v>
      </c>
      <c r="G77" s="1" t="str">
        <f t="shared" si="13"/>
        <v>-</v>
      </c>
      <c r="H77" s="14"/>
      <c r="I77" s="111">
        <f>IF(I$2=$E77,$D77,IF(I$2&gt;I$257,0,IF($C77=I$2,"PAGAR"&amp;" "&amp;TEXT($B77," #.##0,00"),IF($C77=-1,"PAGAR"&amp;" "&amp;TEXT($B77," #.##0,00"),0))))</f>
        <v>0</v>
      </c>
      <c r="J77" s="111">
        <f>+IF(J$2=$E77,$D77,IF(J$2&gt;J$257,0,IF($C77=J$2,"PAGAR"&amp;" "&amp;TEXT($B77," #.##0,00"),0)))</f>
        <v>0</v>
      </c>
      <c r="K77" s="111">
        <f>+IF(K$2=$E77,$D77,IF(K$2&gt;K$257,0,IF($C77=K$2,"PAGAR"&amp;" "&amp;TEXT($B77," #.##0,00"),0)))</f>
        <v>0</v>
      </c>
      <c r="L77" s="111">
        <f>+IF(L$2=$E77,$D77,IF(L$2&gt;L$257,0,IF($C77=L$2,"PAGAR"&amp;" "&amp;TEXT($B77," #.##0,00"),0)))</f>
        <v>0</v>
      </c>
      <c r="M77" s="111">
        <f>+IF(M$2=$E77,$D77,IF(M$2&gt;M$257,0,IF($C77=M$2,"PAGAR"&amp;" "&amp;TEXT($B77," #.##0,00"),0)))</f>
        <v>0</v>
      </c>
      <c r="N77" s="111">
        <f>+IF(N$2=$E77,$D77,IF(N$2&gt;N$257,0,IF($C77=N$2,"PAGAR"&amp;" "&amp;TEXT($B77," #.##0,00"),0)))</f>
        <v>0</v>
      </c>
      <c r="O77" s="111">
        <f>+IF(O$2=$E77,$D77,IF(O$2&gt;O$257,0,IF($C77=O$2,"PAGAR"&amp;" "&amp;TEXT($B77," #.##0,00"),0)))</f>
        <v>0</v>
      </c>
      <c r="P77" s="111">
        <f>+IF(P$2=$E77,$D77,IF(P$2&gt;P$257,0,IF($C77=P$2,"PAGAR"&amp;" "&amp;TEXT($B77," #.##0,00"),0)))</f>
        <v>0</v>
      </c>
      <c r="Q77" s="111">
        <f>+IF(Q$2=$E77,$D77,IF(Q$2&gt;Q$257,0,IF($C77=Q$2,"PAGAR"&amp;" "&amp;TEXT($B77," #.##0,00"),0)))</f>
        <v>0</v>
      </c>
      <c r="R77" s="111">
        <f>+IF(R$2=$E77,$D77,IF(R$2&gt;R$257,0,IF($C77=R$2,"PAGAR"&amp;" "&amp;TEXT($B77," #.##0,00"),0)))</f>
        <v>0</v>
      </c>
      <c r="S77" s="111">
        <f>+IF(S$2=$E77,$D77,IF(S$2&gt;S$257,0,IF($C77=S$2,"PAGAR"&amp;" "&amp;TEXT($B77," #.##0,00"),0)))</f>
        <v>0</v>
      </c>
      <c r="T77" s="111">
        <f>+IF(T$2=$E77,$D77,IF(T$2&gt;T$257,0,IF($C77=T$2,"PAGAR"&amp;" "&amp;TEXT($B77," #.##0,00"),0)))</f>
        <v>0</v>
      </c>
      <c r="U77" s="111">
        <f>+IF(U$2=$E77,$D77,IF(U$2&gt;U$257,0,IF($C77=U$2,"PAGAR"&amp;" "&amp;TEXT($B77," #.##0,00"),0)))</f>
        <v>0</v>
      </c>
      <c r="V77" s="111">
        <f>+IF(V$2=$E77,$D77,IF(V$2&gt;V$257,0,IF($C77=V$2,"PAGAR"&amp;" "&amp;TEXT($B77," #.##0,00"),0)))</f>
        <v>0</v>
      </c>
      <c r="W77" s="111">
        <f>+IF(W$2=$E77,$D77,IF(W$2&gt;W$257,0,IF($C77=W$2,"PAGAR"&amp;" "&amp;TEXT($B77," #.##0,00"),0)))</f>
        <v>0</v>
      </c>
      <c r="X77" s="111">
        <f>+IF(X$2=$E77,$D77,IF(X$2&gt;X$257,0,IF($C77=X$2,"PAGAR"&amp;" "&amp;TEXT($B77," #.##0,00"),0)))</f>
        <v>0</v>
      </c>
      <c r="Y77" s="111">
        <f>+IF(Y$2=$E77,$D77,IF(Y$2&gt;Y$257,0,IF($C77=Y$2,"PAGAR"&amp;" "&amp;TEXT($B77," #.##0,00"),0)))</f>
        <v>0</v>
      </c>
      <c r="Z77" s="111">
        <f>+IF(Z$2=$E77,$D77,IF(Z$2&gt;Z$257,0,IF($C77=Z$2,"PAGAR"&amp;" "&amp;TEXT($B77," #.##0,00"),0)))</f>
        <v>0</v>
      </c>
      <c r="AA77" s="111">
        <f>+IF(AA$2=$E77,$D77,IF(AA$2&gt;AA$257,0,IF($C77=AA$2,"PAGAR"&amp;" "&amp;TEXT($B77," #.##0,00"),0)))</f>
        <v>0</v>
      </c>
      <c r="AB77" s="111">
        <f>+IF(AB$2=$E77,$D77,IF(AB$2&gt;AB$257,0,IF($C77=AB$2,"PAGAR"&amp;" "&amp;TEXT($B77," #.##0,00"),0)))</f>
        <v>0</v>
      </c>
      <c r="AC77" s="111">
        <f>+IF(AC$2=$E77,$D77,IF(AC$2&gt;AC$257,0,IF($C77=AC$2,"PAGAR"&amp;" "&amp;TEXT($B77," #.##0,00"),0)))</f>
        <v>0</v>
      </c>
      <c r="AD77" s="111">
        <f>+IF(AD$2=$E77,$D77,IF(AD$2&gt;AD$257,0,IF($C77=AD$2,"PAGAR"&amp;" "&amp;TEXT($B77," #.##0,00"),0)))</f>
        <v>0</v>
      </c>
      <c r="AE77" s="111">
        <f>+IF(AE$2=$E77,$D77,IF(AE$2&gt;AE$257,0,IF($C77=AE$2,"PAGAR"&amp;" "&amp;TEXT($B77," #.##0,00"),0)))</f>
        <v>0</v>
      </c>
      <c r="AF77" s="111">
        <f>+IF(AF$2=$E77,$D77,IF(AF$2&gt;AF$257,0,IF($C77=AF$2,"PAGAR"&amp;" "&amp;TEXT($B77," #.##0,00"),0)))</f>
        <v>0</v>
      </c>
      <c r="AG77" s="111">
        <f>+IF(AG$2=$E77,$D77,IF(AG$2&gt;AG$257,0,IF($C77=AG$2,"PAGAR"&amp;" "&amp;TEXT($B77," #.##0,00"),0)))</f>
        <v>0</v>
      </c>
      <c r="AH77" s="111">
        <f>+IF(AH$2=$E77,$D77,IF(AH$2&gt;AH$257,0,IF($C77=AH$2,"PAGAR"&amp;" "&amp;TEXT($B77," #.##0,00"),0)))</f>
        <v>0</v>
      </c>
      <c r="AI77" s="111">
        <f>+IF(AI$2=$E77,$D77,IF(AI$2&gt;AI$257,0,IF($C77=AI$2,"PAGAR"&amp;" "&amp;TEXT($B77," #.##0,00"),0)))</f>
        <v>0</v>
      </c>
      <c r="AJ77" s="111">
        <f>+IF(AJ$2=$E77,$D77,IF(AJ$2&gt;AJ$257,0,IF($C77=AJ$2,"PAGAR"&amp;" "&amp;TEXT($B77," #.##0,00"),0)))</f>
        <v>0</v>
      </c>
      <c r="AK77" s="111">
        <f>+IF(AK$2=$E77,$D77,IF(AK$2&gt;AK$257,0,IF($C77=AK$2,"PAGAR"&amp;" "&amp;TEXT($B77," #.##0,00"),0)))</f>
        <v>0</v>
      </c>
      <c r="AL77" s="111">
        <f>+IF(AL$2=$E77,$D77,IF(AL$2&gt;AL$257,0,IF($C77=AL$2,"PAGAR"&amp;" "&amp;TEXT($B77," #.##0,00"),0)))</f>
        <v>0</v>
      </c>
      <c r="AM77" s="111">
        <f>+IF(AM$2=$E77,$D77,IF(AM$2&gt;AM$257,0,IF($C77=AM$2,"PAGAR"&amp;" "&amp;TEXT($B77," #.##0,00"),0)))</f>
        <v>0</v>
      </c>
      <c r="AN77" s="111">
        <f t="shared" ca="1" si="14"/>
        <v>0</v>
      </c>
      <c r="AO77" s="287">
        <f t="shared" si="15"/>
        <v>0</v>
      </c>
      <c r="AZ77" s="224"/>
      <c r="BA77" s="224"/>
      <c r="BB77" s="224"/>
      <c r="BC77" s="224"/>
      <c r="BD77" s="224"/>
    </row>
    <row r="78" spans="1:56" x14ac:dyDescent="0.25">
      <c r="A78" s="212"/>
      <c r="B78" s="90"/>
      <c r="C78" s="91"/>
      <c r="D78" s="97"/>
      <c r="E78" s="166"/>
      <c r="F78" s="84">
        <f ca="1">+IF(TODAY()&lt;DATEVALUE(1&amp;D$1&amp;E$1),0,IF(C78&gt;0,IF(C78-SUM(I$255:AM$255)&lt;0,B78-SUM(I78:AM78,0),0),0))+IF(C78=-1,B78-SUM(J78:AM78))</f>
        <v>0</v>
      </c>
      <c r="G78" s="1" t="str">
        <f t="shared" si="13"/>
        <v>-</v>
      </c>
      <c r="H78" s="14"/>
      <c r="I78" s="111">
        <f>IF(I$2=$E78,$D78,IF(I$2&gt;I$257,0,IF($C78=I$2,"PAGAR"&amp;" "&amp;TEXT($B78," #.##0,00"),IF($C78=-1,"PAGAR"&amp;" "&amp;TEXT($B78," #.##0,00"),0))))</f>
        <v>0</v>
      </c>
      <c r="J78" s="111">
        <f>+IF(J$2=$E78,$D78,IF(J$2&gt;J$257,0,IF($C78=J$2,"PAGAR"&amp;" "&amp;TEXT($B78," #.##0,00"),0)))</f>
        <v>0</v>
      </c>
      <c r="K78" s="111">
        <f>+IF(K$2=$E78,$D78,IF(K$2&gt;K$257,0,IF($C78=K$2,"PAGAR"&amp;" "&amp;TEXT($B78," #.##0,00"),0)))</f>
        <v>0</v>
      </c>
      <c r="L78" s="111">
        <f>+IF(L$2=$E78,$D78,IF(L$2&gt;L$257,0,IF($C78=L$2,"PAGAR"&amp;" "&amp;TEXT($B78," #.##0,00"),0)))</f>
        <v>0</v>
      </c>
      <c r="M78" s="111">
        <f>+IF(M$2=$E78,$D78,IF(M$2&gt;M$257,0,IF($C78=M$2,"PAGAR"&amp;" "&amp;TEXT($B78," #.##0,00"),0)))</f>
        <v>0</v>
      </c>
      <c r="N78" s="111">
        <f>+IF(N$2=$E78,$D78,IF(N$2&gt;N$257,0,IF($C78=N$2,"PAGAR"&amp;" "&amp;TEXT($B78," #.##0,00"),0)))</f>
        <v>0</v>
      </c>
      <c r="O78" s="111">
        <f>+IF(O$2=$E78,$D78,IF(O$2&gt;O$257,0,IF($C78=O$2,"PAGAR"&amp;" "&amp;TEXT($B78," #.##0,00"),0)))</f>
        <v>0</v>
      </c>
      <c r="P78" s="111">
        <f>+IF(P$2=$E78,$D78,IF(P$2&gt;P$257,0,IF($C78=P$2,"PAGAR"&amp;" "&amp;TEXT($B78," #.##0,00"),0)))</f>
        <v>0</v>
      </c>
      <c r="Q78" s="111">
        <f>+IF(Q$2=$E78,$D78,IF(Q$2&gt;Q$257,0,IF($C78=Q$2,"PAGAR"&amp;" "&amp;TEXT($B78," #.##0,00"),0)))</f>
        <v>0</v>
      </c>
      <c r="R78" s="111">
        <f>+IF(R$2=$E78,$D78,IF(R$2&gt;R$257,0,IF($C78=R$2,"PAGAR"&amp;" "&amp;TEXT($B78," #.##0,00"),0)))</f>
        <v>0</v>
      </c>
      <c r="S78" s="111">
        <f>+IF(S$2=$E78,$D78,IF(S$2&gt;S$257,0,IF($C78=S$2,"PAGAR"&amp;" "&amp;TEXT($B78," #.##0,00"),0)))</f>
        <v>0</v>
      </c>
      <c r="T78" s="111">
        <f>+IF(T$2=$E78,$D78,IF(T$2&gt;T$257,0,IF($C78=T$2,"PAGAR"&amp;" "&amp;TEXT($B78," #.##0,00"),0)))</f>
        <v>0</v>
      </c>
      <c r="U78" s="111">
        <f>+IF(U$2=$E78,$D78,IF(U$2&gt;U$257,0,IF($C78=U$2,"PAGAR"&amp;" "&amp;TEXT($B78," #.##0,00"),0)))</f>
        <v>0</v>
      </c>
      <c r="V78" s="111">
        <f>+IF(V$2=$E78,$D78,IF(V$2&gt;V$257,0,IF($C78=V$2,"PAGAR"&amp;" "&amp;TEXT($B78," #.##0,00"),0)))</f>
        <v>0</v>
      </c>
      <c r="W78" s="111">
        <f>+IF(W$2=$E78,$D78,IF(W$2&gt;W$257,0,IF($C78=W$2,"PAGAR"&amp;" "&amp;TEXT($B78," #.##0,00"),0)))</f>
        <v>0</v>
      </c>
      <c r="X78" s="111">
        <f>+IF(X$2=$E78,$D78,IF(X$2&gt;X$257,0,IF($C78=X$2,"PAGAR"&amp;" "&amp;TEXT($B78," #.##0,00"),0)))</f>
        <v>0</v>
      </c>
      <c r="Y78" s="111">
        <f>+IF(Y$2=$E78,$D78,IF(Y$2&gt;Y$257,0,IF($C78=Y$2,"PAGAR"&amp;" "&amp;TEXT($B78," #.##0,00"),0)))</f>
        <v>0</v>
      </c>
      <c r="Z78" s="111">
        <f>+IF(Z$2=$E78,$D78,IF(Z$2&gt;Z$257,0,IF($C78=Z$2,"PAGAR"&amp;" "&amp;TEXT($B78," #.##0,00"),0)))</f>
        <v>0</v>
      </c>
      <c r="AA78" s="111">
        <f>+IF(AA$2=$E78,$D78,IF(AA$2&gt;AA$257,0,IF($C78=AA$2,"PAGAR"&amp;" "&amp;TEXT($B78," #.##0,00"),0)))</f>
        <v>0</v>
      </c>
      <c r="AB78" s="111">
        <f>+IF(AB$2=$E78,$D78,IF(AB$2&gt;AB$257,0,IF($C78=AB$2,"PAGAR"&amp;" "&amp;TEXT($B78," #.##0,00"),0)))</f>
        <v>0</v>
      </c>
      <c r="AC78" s="111">
        <f>+IF(AC$2=$E78,$D78,IF(AC$2&gt;AC$257,0,IF($C78=AC$2,"PAGAR"&amp;" "&amp;TEXT($B78," #.##0,00"),0)))</f>
        <v>0</v>
      </c>
      <c r="AD78" s="111">
        <f>+IF(AD$2=$E78,$D78,IF(AD$2&gt;AD$257,0,IF($C78=AD$2,"PAGAR"&amp;" "&amp;TEXT($B78," #.##0,00"),0)))</f>
        <v>0</v>
      </c>
      <c r="AE78" s="111">
        <f>+IF(AE$2=$E78,$D78,IF(AE$2&gt;AE$257,0,IF($C78=AE$2,"PAGAR"&amp;" "&amp;TEXT($B78," #.##0,00"),0)))</f>
        <v>0</v>
      </c>
      <c r="AF78" s="111">
        <f>+IF(AF$2=$E78,$D78,IF(AF$2&gt;AF$257,0,IF($C78=AF$2,"PAGAR"&amp;" "&amp;TEXT($B78," #.##0,00"),0)))</f>
        <v>0</v>
      </c>
      <c r="AG78" s="111">
        <f>+IF(AG$2=$E78,$D78,IF(AG$2&gt;AG$257,0,IF($C78=AG$2,"PAGAR"&amp;" "&amp;TEXT($B78," #.##0,00"),0)))</f>
        <v>0</v>
      </c>
      <c r="AH78" s="111">
        <f>+IF(AH$2=$E78,$D78,IF(AH$2&gt;AH$257,0,IF($C78=AH$2,"PAGAR"&amp;" "&amp;TEXT($B78," #.##0,00"),0)))</f>
        <v>0</v>
      </c>
      <c r="AI78" s="111">
        <f>+IF(AI$2=$E78,$D78,IF(AI$2&gt;AI$257,0,IF($C78=AI$2,"PAGAR"&amp;" "&amp;TEXT($B78," #.##0,00"),0)))</f>
        <v>0</v>
      </c>
      <c r="AJ78" s="111">
        <f>+IF(AJ$2=$E78,$D78,IF(AJ$2&gt;AJ$257,0,IF($C78=AJ$2,"PAGAR"&amp;" "&amp;TEXT($B78," #.##0,00"),0)))</f>
        <v>0</v>
      </c>
      <c r="AK78" s="111">
        <f>+IF(AK$2=$E78,$D78,IF(AK$2&gt;AK$257,0,IF($C78=AK$2,"PAGAR"&amp;" "&amp;TEXT($B78," #.##0,00"),0)))</f>
        <v>0</v>
      </c>
      <c r="AL78" s="111">
        <f>+IF(AL$2=$E78,$D78,IF(AL$2&gt;AL$257,0,IF($C78=AL$2,"PAGAR"&amp;" "&amp;TEXT($B78," #.##0,00"),0)))</f>
        <v>0</v>
      </c>
      <c r="AM78" s="111">
        <f>+IF(AM$2=$E78,$D78,IF(AM$2&gt;AM$257,0,IF($C78=AM$2,"PAGAR"&amp;" "&amp;TEXT($B78," #.##0,00"),0)))</f>
        <v>0</v>
      </c>
      <c r="AN78" s="111">
        <f t="shared" ca="1" si="14"/>
        <v>0</v>
      </c>
      <c r="AO78" s="287">
        <f t="shared" si="15"/>
        <v>0</v>
      </c>
      <c r="AZ78" s="224"/>
      <c r="BA78" s="224"/>
      <c r="BB78" s="224"/>
      <c r="BC78" s="224"/>
      <c r="BD78" s="224"/>
    </row>
    <row r="79" spans="1:56" x14ac:dyDescent="0.25">
      <c r="A79" s="212" t="s">
        <v>149</v>
      </c>
      <c r="B79" s="90">
        <v>288.06</v>
      </c>
      <c r="C79" s="91">
        <v>5</v>
      </c>
      <c r="D79" s="97"/>
      <c r="E79" s="166"/>
      <c r="F79" s="84">
        <f ca="1">+IF(TODAY()&lt;DATEVALUE(1&amp;D$1&amp;E$1),0,IF(C79&gt;0,IF(C79-SUM(I$255:AM$255)&lt;0,B79-SUM(I79:AM79,0),0),0))+IF(C79=-1,B79-SUM(J79:AM79))</f>
        <v>288.06</v>
      </c>
      <c r="G79" s="1">
        <f t="shared" si="13"/>
        <v>0</v>
      </c>
      <c r="H79" s="14"/>
      <c r="I79" s="111">
        <f>IF(I$2=$E79,$D79,IF(I$2&gt;I$257,0,IF($C79=I$2,"PAGAR"&amp;" "&amp;TEXT($B79," #.##0,00"),IF($C79=-1,"PAGAR"&amp;" "&amp;TEXT($B79," #.##0,00"),0))))</f>
        <v>0</v>
      </c>
      <c r="J79" s="111">
        <f>+IF(J$2=$E79,$D79,IF(J$2&gt;J$257,0,IF($C79=J$2,"PAGAR"&amp;" "&amp;TEXT($B79," #.##0,00"),0)))</f>
        <v>0</v>
      </c>
      <c r="K79" s="111">
        <f>+IF(K$2=$E79,$D79,IF(K$2&gt;K$257,0,IF($C79=K$2,"PAGAR"&amp;" "&amp;TEXT($B79," #.##0,00"),0)))</f>
        <v>0</v>
      </c>
      <c r="L79" s="111">
        <f>+IF(L$2=$E79,$D79,IF(L$2&gt;L$257,0,IF($C79=L$2,"PAGAR"&amp;" "&amp;TEXT($B79," #.##0,00"),0)))</f>
        <v>0</v>
      </c>
      <c r="M79" s="111" t="str">
        <f>+IF(M$2=$E79,$D79,IF(M$2&gt;M$257,0,IF($C79=M$2,"PAGAR"&amp;" "&amp;TEXT($B79," #.##0,00"),0)))</f>
        <v>PAGAR  288,06</v>
      </c>
      <c r="N79" s="111">
        <f>+IF(N$2=$E79,$D79,IF(N$2&gt;N$257,0,IF($C79=N$2,"PAGAR"&amp;" "&amp;TEXT($B79," #.##0,00"),0)))</f>
        <v>0</v>
      </c>
      <c r="O79" s="111">
        <f>+IF(O$2=$E79,$D79,IF(O$2&gt;O$257,0,IF($C79=O$2,"PAGAR"&amp;" "&amp;TEXT($B79," #.##0,00"),0)))</f>
        <v>0</v>
      </c>
      <c r="P79" s="111">
        <f>+IF(P$2=$E79,$D79,IF(P$2&gt;P$257,0,IF($C79=P$2,"PAGAR"&amp;" "&amp;TEXT($B79," #.##0,00"),0)))</f>
        <v>0</v>
      </c>
      <c r="Q79" s="111">
        <f>+IF(Q$2=$E79,$D79,IF(Q$2&gt;Q$257,0,IF($C79=Q$2,"PAGAR"&amp;" "&amp;TEXT($B79," #.##0,00"),0)))</f>
        <v>0</v>
      </c>
      <c r="R79" s="111">
        <f>+IF(R$2=$E79,$D79,IF(R$2&gt;R$257,0,IF($C79=R$2,"PAGAR"&amp;" "&amp;TEXT($B79," #.##0,00"),0)))</f>
        <v>0</v>
      </c>
      <c r="S79" s="111">
        <f>+IF(S$2=$E79,$D79,IF(S$2&gt;S$257,0,IF($C79=S$2,"PAGAR"&amp;" "&amp;TEXT($B79," #.##0,00"),0)))</f>
        <v>0</v>
      </c>
      <c r="T79" s="111">
        <f>+IF(T$2=$E79,$D79,IF(T$2&gt;T$257,0,IF($C79=T$2,"PAGAR"&amp;" "&amp;TEXT($B79," #.##0,00"),0)))</f>
        <v>0</v>
      </c>
      <c r="U79" s="111">
        <f>+IF(U$2=$E79,$D79,IF(U$2&gt;U$257,0,IF($C79=U$2,"PAGAR"&amp;" "&amp;TEXT($B79," #.##0,00"),0)))</f>
        <v>0</v>
      </c>
      <c r="V79" s="111">
        <f>+IF(V$2=$E79,$D79,IF(V$2&gt;V$257,0,IF($C79=V$2,"PAGAR"&amp;" "&amp;TEXT($B79," #.##0,00"),0)))</f>
        <v>0</v>
      </c>
      <c r="W79" s="111">
        <f>+IF(W$2=$E79,$D79,IF(W$2&gt;W$257,0,IF($C79=W$2,"PAGAR"&amp;" "&amp;TEXT($B79," #.##0,00"),0)))</f>
        <v>0</v>
      </c>
      <c r="X79" s="111">
        <f>+IF(X$2=$E79,$D79,IF(X$2&gt;X$257,0,IF($C79=X$2,"PAGAR"&amp;" "&amp;TEXT($B79," #.##0,00"),0)))</f>
        <v>0</v>
      </c>
      <c r="Y79" s="111">
        <f>+IF(Y$2=$E79,$D79,IF(Y$2&gt;Y$257,0,IF($C79=Y$2,"PAGAR"&amp;" "&amp;TEXT($B79," #.##0,00"),0)))</f>
        <v>0</v>
      </c>
      <c r="Z79" s="111">
        <f>+IF(Z$2=$E79,$D79,IF(Z$2&gt;Z$257,0,IF($C79=Z$2,"PAGAR"&amp;" "&amp;TEXT($B79," #.##0,00"),0)))</f>
        <v>0</v>
      </c>
      <c r="AA79" s="111">
        <f>+IF(AA$2=$E79,$D79,IF(AA$2&gt;AA$257,0,IF($C79=AA$2,"PAGAR"&amp;" "&amp;TEXT($B79," #.##0,00"),0)))</f>
        <v>0</v>
      </c>
      <c r="AB79" s="111">
        <f>+IF(AB$2=$E79,$D79,IF(AB$2&gt;AB$257,0,IF($C79=AB$2,"PAGAR"&amp;" "&amp;TEXT($B79," #.##0,00"),0)))</f>
        <v>0</v>
      </c>
      <c r="AC79" s="111">
        <f>+IF(AC$2=$E79,$D79,IF(AC$2&gt;AC$257,0,IF($C79=AC$2,"PAGAR"&amp;" "&amp;TEXT($B79," #.##0,00"),0)))</f>
        <v>0</v>
      </c>
      <c r="AD79" s="111">
        <f>+IF(AD$2=$E79,$D79,IF(AD$2&gt;AD$257,0,IF($C79=AD$2,"PAGAR"&amp;" "&amp;TEXT($B79," #.##0,00"),0)))</f>
        <v>0</v>
      </c>
      <c r="AE79" s="111">
        <f>+IF(AE$2=$E79,$D79,IF(AE$2&gt;AE$257,0,IF($C79=AE$2,"PAGAR"&amp;" "&amp;TEXT($B79," #.##0,00"),0)))</f>
        <v>0</v>
      </c>
      <c r="AF79" s="111">
        <f>+IF(AF$2=$E79,$D79,IF(AF$2&gt;AF$257,0,IF($C79=AF$2,"PAGAR"&amp;" "&amp;TEXT($B79," #.##0,00"),0)))</f>
        <v>0</v>
      </c>
      <c r="AG79" s="111">
        <f>+IF(AG$2=$E79,$D79,IF(AG$2&gt;AG$257,0,IF($C79=AG$2,"PAGAR"&amp;" "&amp;TEXT($B79," #.##0,00"),0)))</f>
        <v>0</v>
      </c>
      <c r="AH79" s="111">
        <f>+IF(AH$2=$E79,$D79,IF(AH$2&gt;AH$257,0,IF($C79=AH$2,"PAGAR"&amp;" "&amp;TEXT($B79," #.##0,00"),0)))</f>
        <v>0</v>
      </c>
      <c r="AI79" s="111">
        <f>+IF(AI$2=$E79,$D79,IF(AI$2&gt;AI$257,0,IF($C79=AI$2,"PAGAR"&amp;" "&amp;TEXT($B79," #.##0,00"),0)))</f>
        <v>0</v>
      </c>
      <c r="AJ79" s="111">
        <f>+IF(AJ$2=$E79,$D79,IF(AJ$2&gt;AJ$257,0,IF($C79=AJ$2,"PAGAR"&amp;" "&amp;TEXT($B79," #.##0,00"),0)))</f>
        <v>0</v>
      </c>
      <c r="AK79" s="111">
        <f>+IF(AK$2=$E79,$D79,IF(AK$2&gt;AK$257,0,IF($C79=AK$2,"PAGAR"&amp;" "&amp;TEXT($B79," #.##0,00"),0)))</f>
        <v>0</v>
      </c>
      <c r="AL79" s="111">
        <f>+IF(AL$2=$E79,$D79,IF(AL$2&gt;AL$257,0,IF($C79=AL$2,"PAGAR"&amp;" "&amp;TEXT($B79," #.##0,00"),0)))</f>
        <v>0</v>
      </c>
      <c r="AM79" s="111">
        <f>+IF(AM$2=$E79,$D79,IF(AM$2&gt;AM$257,0,IF($C79=AM$2,"PAGAR"&amp;" "&amp;TEXT($B79," #.##0,00"),0)))</f>
        <v>0</v>
      </c>
      <c r="AN79" s="111">
        <f t="shared" ca="1" si="14"/>
        <v>0</v>
      </c>
      <c r="AO79" s="287">
        <f t="shared" si="15"/>
        <v>0</v>
      </c>
      <c r="AZ79" s="224"/>
      <c r="BA79" s="224"/>
      <c r="BB79" s="224"/>
      <c r="BC79" s="224"/>
      <c r="BD79" s="224"/>
    </row>
    <row r="80" spans="1:56" x14ac:dyDescent="0.25">
      <c r="A80" s="212" t="s">
        <v>150</v>
      </c>
      <c r="B80" s="90">
        <v>236.13</v>
      </c>
      <c r="C80" s="91">
        <v>26</v>
      </c>
      <c r="D80" s="97"/>
      <c r="E80" s="166"/>
      <c r="F80" s="84">
        <f ca="1">+IF(TODAY()&lt;DATEVALUE(1&amp;D$1&amp;E$1),0,IF(C80&gt;0,IF(C80-SUM(I$255:AM$255)&lt;0,B80-SUM(I80:AM80,0),0),0))+IF(C80=-1,B80-SUM(J80:AM80))</f>
        <v>0</v>
      </c>
      <c r="G80" s="1">
        <f t="shared" si="13"/>
        <v>0</v>
      </c>
      <c r="H80" s="14"/>
      <c r="I80" s="111">
        <f>IF(I$2=$E80,$D80,IF(I$2&gt;I$257,0,IF($C80=I$2,"PAGAR"&amp;" "&amp;TEXT($B80," #.##0,00"),IF($C80=-1,"PAGAR"&amp;" "&amp;TEXT($B80," #.##0,00"),0))))</f>
        <v>0</v>
      </c>
      <c r="J80" s="111">
        <f>+IF(J$2=$E80,$D80,IF(J$2&gt;J$257,0,IF($C80=J$2,"PAGAR"&amp;" "&amp;TEXT($B80," #.##0,00"),0)))</f>
        <v>0</v>
      </c>
      <c r="K80" s="111">
        <f>+IF(K$2=$E80,$D80,IF(K$2&gt;K$257,0,IF($C80=K$2,"PAGAR"&amp;" "&amp;TEXT($B80," #.##0,00"),0)))</f>
        <v>0</v>
      </c>
      <c r="L80" s="111">
        <f>+IF(L$2=$E80,$D80,IF(L$2&gt;L$257,0,IF($C80=L$2,"PAGAR"&amp;" "&amp;TEXT($B80," #.##0,00"),0)))</f>
        <v>0</v>
      </c>
      <c r="M80" s="111">
        <f>+IF(M$2=$E80,$D80,IF(M$2&gt;M$257,0,IF($C80=M$2,"PAGAR"&amp;" "&amp;TEXT($B80," #.##0,00"),0)))</f>
        <v>0</v>
      </c>
      <c r="N80" s="111">
        <f>+IF(N$2=$E80,$D80,IF(N$2&gt;N$257,0,IF($C80=N$2,"PAGAR"&amp;" "&amp;TEXT($B80," #.##0,00"),0)))</f>
        <v>0</v>
      </c>
      <c r="O80" s="111">
        <f>+IF(O$2=$E80,$D80,IF(O$2&gt;O$257,0,IF($C80=O$2,"PAGAR"&amp;" "&amp;TEXT($B80," #.##0,00"),0)))</f>
        <v>0</v>
      </c>
      <c r="P80" s="111">
        <f>+IF(P$2=$E80,$D80,IF(P$2&gt;P$257,0,IF($C80=P$2,"PAGAR"&amp;" "&amp;TEXT($B80," #.##0,00"),0)))</f>
        <v>0</v>
      </c>
      <c r="Q80" s="111">
        <f>+IF(Q$2=$E80,$D80,IF(Q$2&gt;Q$257,0,IF($C80=Q$2,"PAGAR"&amp;" "&amp;TEXT($B80," #.##0,00"),0)))</f>
        <v>0</v>
      </c>
      <c r="R80" s="111">
        <f>+IF(R$2=$E80,$D80,IF(R$2&gt;R$257,0,IF($C80=R$2,"PAGAR"&amp;" "&amp;TEXT($B80," #.##0,00"),0)))</f>
        <v>0</v>
      </c>
      <c r="S80" s="111">
        <f>+IF(S$2=$E80,$D80,IF(S$2&gt;S$257,0,IF($C80=S$2,"PAGAR"&amp;" "&amp;TEXT($B80," #.##0,00"),0)))</f>
        <v>0</v>
      </c>
      <c r="T80" s="111">
        <f>+IF(T$2=$E80,$D80,IF(T$2&gt;T$257,0,IF($C80=T$2,"PAGAR"&amp;" "&amp;TEXT($B80," #.##0,00"),0)))</f>
        <v>0</v>
      </c>
      <c r="U80" s="111">
        <f>+IF(U$2=$E80,$D80,IF(U$2&gt;U$257,0,IF($C80=U$2,"PAGAR"&amp;" "&amp;TEXT($B80," #.##0,00"),0)))</f>
        <v>0</v>
      </c>
      <c r="V80" s="111">
        <f>+IF(V$2=$E80,$D80,IF(V$2&gt;V$257,0,IF($C80=V$2,"PAGAR"&amp;" "&amp;TEXT($B80," #.##0,00"),0)))</f>
        <v>0</v>
      </c>
      <c r="W80" s="111">
        <f>+IF(W$2=$E80,$D80,IF(W$2&gt;W$257,0,IF($C80=W$2,"PAGAR"&amp;" "&amp;TEXT($B80," #.##0,00"),0)))</f>
        <v>0</v>
      </c>
      <c r="X80" s="111">
        <f>+IF(X$2=$E80,$D80,IF(X$2&gt;X$257,0,IF($C80=X$2,"PAGAR"&amp;" "&amp;TEXT($B80," #.##0,00"),0)))</f>
        <v>0</v>
      </c>
      <c r="Y80" s="111">
        <f>+IF(Y$2=$E80,$D80,IF(Y$2&gt;Y$257,0,IF($C80=Y$2,"PAGAR"&amp;" "&amp;TEXT($B80," #.##0,00"),0)))</f>
        <v>0</v>
      </c>
      <c r="Z80" s="111">
        <f>+IF(Z$2=$E80,$D80,IF(Z$2&gt;Z$257,0,IF($C80=Z$2,"PAGAR"&amp;" "&amp;TEXT($B80," #.##0,00"),0)))</f>
        <v>0</v>
      </c>
      <c r="AA80" s="111">
        <f>+IF(AA$2=$E80,$D80,IF(AA$2&gt;AA$257,0,IF($C80=AA$2,"PAGAR"&amp;" "&amp;TEXT($B80," #.##0,00"),0)))</f>
        <v>0</v>
      </c>
      <c r="AB80" s="111">
        <f>+IF(AB$2=$E80,$D80,IF(AB$2&gt;AB$257,0,IF($C80=AB$2,"PAGAR"&amp;" "&amp;TEXT($B80," #.##0,00"),0)))</f>
        <v>0</v>
      </c>
      <c r="AC80" s="111">
        <f>+IF(AC$2=$E80,$D80,IF(AC$2&gt;AC$257,0,IF($C80=AC$2,"PAGAR"&amp;" "&amp;TEXT($B80," #.##0,00"),0)))</f>
        <v>0</v>
      </c>
      <c r="AD80" s="111">
        <f>+IF(AD$2=$E80,$D80,IF(AD$2&gt;AD$257,0,IF($C80=AD$2,"PAGAR"&amp;" "&amp;TEXT($B80," #.##0,00"),0)))</f>
        <v>0</v>
      </c>
      <c r="AE80" s="111">
        <f>+IF(AE$2=$E80,$D80,IF(AE$2&gt;AE$257,0,IF($C80=AE$2,"PAGAR"&amp;" "&amp;TEXT($B80," #.##0,00"),0)))</f>
        <v>0</v>
      </c>
      <c r="AF80" s="111">
        <f>+IF(AF$2=$E80,$D80,IF(AF$2&gt;AF$257,0,IF($C80=AF$2,"PAGAR"&amp;" "&amp;TEXT($B80," #.##0,00"),0)))</f>
        <v>0</v>
      </c>
      <c r="AG80" s="111">
        <f>+IF(AG$2=$E80,$D80,IF(AG$2&gt;AG$257,0,IF($C80=AG$2,"PAGAR"&amp;" "&amp;TEXT($B80," #.##0,00"),0)))</f>
        <v>0</v>
      </c>
      <c r="AH80" s="111" t="str">
        <f>+IF(AH$2=$E80,$D80,IF(AH$2&gt;AH$257,0,IF($C80=AH$2,"PAGAR"&amp;" "&amp;TEXT($B80," #.##0,00"),0)))</f>
        <v>PAGAR  236,13</v>
      </c>
      <c r="AI80" s="111">
        <f>+IF(AI$2=$E80,$D80,IF(AI$2&gt;AI$257,0,IF($C80=AI$2,"PAGAR"&amp;" "&amp;TEXT($B80," #.##0,00"),0)))</f>
        <v>0</v>
      </c>
      <c r="AJ80" s="111">
        <f>+IF(AJ$2=$E80,$D80,IF(AJ$2&gt;AJ$257,0,IF($C80=AJ$2,"PAGAR"&amp;" "&amp;TEXT($B80," #.##0,00"),0)))</f>
        <v>0</v>
      </c>
      <c r="AK80" s="111">
        <f>+IF(AK$2=$E80,$D80,IF(AK$2&gt;AK$257,0,IF($C80=AK$2,"PAGAR"&amp;" "&amp;TEXT($B80," #.##0,00"),0)))</f>
        <v>0</v>
      </c>
      <c r="AL80" s="111">
        <f>+IF(AL$2=$E80,$D80,IF(AL$2&gt;AL$257,0,IF($C80=AL$2,"PAGAR"&amp;" "&amp;TEXT($B80," #.##0,00"),0)))</f>
        <v>0</v>
      </c>
      <c r="AM80" s="111">
        <f>+IF(AM$2=$E80,$D80,IF(AM$2&gt;AM$257,0,IF($C80=AM$2,"PAGAR"&amp;" "&amp;TEXT($B80," #.##0,00"),0)))</f>
        <v>0</v>
      </c>
      <c r="AN80" s="111">
        <f t="shared" ca="1" si="14"/>
        <v>0</v>
      </c>
      <c r="AO80" s="287">
        <f t="shared" si="15"/>
        <v>0</v>
      </c>
      <c r="AZ80" s="224"/>
      <c r="BA80" s="224"/>
      <c r="BB80" s="224"/>
      <c r="BC80" s="224"/>
      <c r="BD80" s="224"/>
    </row>
    <row r="81" spans="1:56" x14ac:dyDescent="0.25">
      <c r="A81" s="221" t="s">
        <v>151</v>
      </c>
      <c r="B81" s="90">
        <v>859.92</v>
      </c>
      <c r="C81" s="222">
        <v>0</v>
      </c>
      <c r="D81" s="97"/>
      <c r="E81" s="166"/>
      <c r="F81" s="84">
        <f ca="1">+IF(TODAY()&lt;DATEVALUE(1&amp;D$1&amp;E$1),0,IF(C81&gt;0,IF(C81-SUM(I$255:AM$255)&lt;0,B81-SUM(I81:AM81,0),0),0))+IF(C81=-1,B81-SUM(J81:AM81))</f>
        <v>0</v>
      </c>
      <c r="G81" s="1">
        <f t="shared" si="13"/>
        <v>0</v>
      </c>
      <c r="H81" s="14"/>
      <c r="I81" s="111">
        <f>IF(I$2=$E81,$D81,IF(I$2&gt;I$257,0,IF($C81=I$2,"PAGAR"&amp;" "&amp;TEXT($B81," #.##0,00"),IF($C81=-1,"PAGAR"&amp;" "&amp;TEXT($B81," #.##0,00"),0))))</f>
        <v>0</v>
      </c>
      <c r="J81" s="111">
        <f>+IF(J$2=$E81,$D81,IF(J$2&gt;J$257,0,IF($C81=J$2,"PAGAR"&amp;" "&amp;TEXT($B81," #.##0,00"),0)))</f>
        <v>0</v>
      </c>
      <c r="K81" s="111">
        <f>+IF(K$2=$E81,$D81,IF(K$2&gt;K$257,0,IF($C81=K$2,"PAGAR"&amp;" "&amp;TEXT($B81," #.##0,00"),0)))</f>
        <v>0</v>
      </c>
      <c r="L81" s="111">
        <f>+IF(L$2=$E81,$D81,IF(L$2&gt;L$257,0,IF($C81=L$2,"PAGAR"&amp;" "&amp;TEXT($B81," #.##0,00"),0)))</f>
        <v>0</v>
      </c>
      <c r="M81" s="111">
        <f>+IF(M$2=$E81,$D81,IF(M$2&gt;M$257,0,IF($C81=M$2,"PAGAR"&amp;" "&amp;TEXT($B81," #.##0,00"),0)))</f>
        <v>0</v>
      </c>
      <c r="N81" s="111">
        <f>+IF(N$2=$E81,$D81,IF(N$2&gt;N$257,0,IF($C81=N$2,"PAGAR"&amp;" "&amp;TEXT($B81," #.##0,00"),0)))</f>
        <v>0</v>
      </c>
      <c r="O81" s="111">
        <f>+IF(O$2=$E81,$D81,IF(O$2&gt;O$257,0,IF($C81=O$2,"PAGAR"&amp;" "&amp;TEXT($B81," #.##0,00"),0)))</f>
        <v>0</v>
      </c>
      <c r="P81" s="111">
        <f>+IF(P$2=$E81,$D81,IF(P$2&gt;P$257,0,IF($C81=P$2,"PAGAR"&amp;" "&amp;TEXT($B81," #.##0,00"),0)))</f>
        <v>0</v>
      </c>
      <c r="Q81" s="111">
        <f>+IF(Q$2=$E81,$D81,IF(Q$2&gt;Q$257,0,IF($C81=Q$2,"PAGAR"&amp;" "&amp;TEXT($B81," #.##0,00"),0)))</f>
        <v>0</v>
      </c>
      <c r="R81" s="111">
        <f>+IF(R$2=$E81,$D81,IF(R$2&gt;R$257,0,IF($C81=R$2,"PAGAR"&amp;" "&amp;TEXT($B81," #.##0,00"),0)))</f>
        <v>0</v>
      </c>
      <c r="S81" s="111">
        <f>+IF(S$2=$E81,$D81,IF(S$2&gt;S$257,0,IF($C81=S$2,"PAGAR"&amp;" "&amp;TEXT($B81," #.##0,00"),0)))</f>
        <v>0</v>
      </c>
      <c r="T81" s="111">
        <f>+IF(T$2=$E81,$D81,IF(T$2&gt;T$257,0,IF($C81=T$2,"PAGAR"&amp;" "&amp;TEXT($B81," #.##0,00"),0)))</f>
        <v>0</v>
      </c>
      <c r="U81" s="111">
        <f>+IF(U$2=$E81,$D81,IF(U$2&gt;U$257,0,IF($C81=U$2,"PAGAR"&amp;" "&amp;TEXT($B81," #.##0,00"),0)))</f>
        <v>0</v>
      </c>
      <c r="V81" s="111">
        <f>+IF(V$2=$E81,$D81,IF(V$2&gt;V$257,0,IF($C81=V$2,"PAGAR"&amp;" "&amp;TEXT($B81," #.##0,00"),0)))</f>
        <v>0</v>
      </c>
      <c r="W81" s="111">
        <f>+IF(W$2=$E81,$D81,IF(W$2&gt;W$257,0,IF($C81=W$2,"PAGAR"&amp;" "&amp;TEXT($B81," #.##0,00"),0)))</f>
        <v>0</v>
      </c>
      <c r="X81" s="111">
        <f>+IF(X$2=$E81,$D81,IF(X$2&gt;X$257,0,IF($C81=X$2,"PAGAR"&amp;" "&amp;TEXT($B81," #.##0,00"),0)))</f>
        <v>0</v>
      </c>
      <c r="Y81" s="111">
        <f>+IF(Y$2=$E81,$D81,IF(Y$2&gt;Y$257,0,IF($C81=Y$2,"PAGAR"&amp;" "&amp;TEXT($B81," #.##0,00"),0)))</f>
        <v>0</v>
      </c>
      <c r="Z81" s="111">
        <f>+IF(Z$2=$E81,$D81,IF(Z$2&gt;Z$257,0,IF($C81=Z$2,"PAGAR"&amp;" "&amp;TEXT($B81," #.##0,00"),0)))</f>
        <v>0</v>
      </c>
      <c r="AA81" s="111">
        <f>+IF(AA$2=$E81,$D81,IF(AA$2&gt;AA$257,0,IF($C81=AA$2,"PAGAR"&amp;" "&amp;TEXT($B81," #.##0,00"),0)))</f>
        <v>0</v>
      </c>
      <c r="AB81" s="111">
        <f>+IF(AB$2=$E81,$D81,IF(AB$2&gt;AB$257,0,IF($C81=AB$2,"PAGAR"&amp;" "&amp;TEXT($B81," #.##0,00"),0)))</f>
        <v>0</v>
      </c>
      <c r="AC81" s="111">
        <f>+IF(AC$2=$E81,$D81,IF(AC$2&gt;AC$257,0,IF($C81=AC$2,"PAGAR"&amp;" "&amp;TEXT($B81," #.##0,00"),0)))</f>
        <v>0</v>
      </c>
      <c r="AD81" s="111">
        <f>+IF(AD$2=$E81,$D81,IF(AD$2&gt;AD$257,0,IF($C81=AD$2,"PAGAR"&amp;" "&amp;TEXT($B81," #.##0,00"),0)))</f>
        <v>0</v>
      </c>
      <c r="AE81" s="111">
        <f>+IF(AE$2=$E81,$D81,IF(AE$2&gt;AE$257,0,IF($C81=AE$2,"PAGAR"&amp;" "&amp;TEXT($B81," #.##0,00"),0)))</f>
        <v>0</v>
      </c>
      <c r="AF81" s="111">
        <f>+IF(AF$2=$E81,$D81,IF(AF$2&gt;AF$257,0,IF($C81=AF$2,"PAGAR"&amp;" "&amp;TEXT($B81," #.##0,00"),0)))</f>
        <v>0</v>
      </c>
      <c r="AG81" s="111">
        <f>+IF(AG$2=$E81,$D81,IF(AG$2&gt;AG$257,0,IF($C81=AG$2,"PAGAR"&amp;" "&amp;TEXT($B81," #.##0,00"),0)))</f>
        <v>0</v>
      </c>
      <c r="AH81" s="111">
        <f>+IF(AH$2=$E81,$D81,IF(AH$2&gt;AH$257,0,IF($C81=AH$2,"PAGAR"&amp;" "&amp;TEXT($B81," #.##0,00"),0)))</f>
        <v>0</v>
      </c>
      <c r="AI81" s="111">
        <f>+IF(AI$2=$E81,$D81,IF(AI$2&gt;AI$257,0,IF($C81=AI$2,"PAGAR"&amp;" "&amp;TEXT($B81," #.##0,00"),0)))</f>
        <v>0</v>
      </c>
      <c r="AJ81" s="111">
        <f>+IF(AJ$2=$E81,$D81,IF(AJ$2&gt;AJ$257,0,IF($C81=AJ$2,"PAGAR"&amp;" "&amp;TEXT($B81," #.##0,00"),0)))</f>
        <v>0</v>
      </c>
      <c r="AK81" s="111">
        <f>+IF(AK$2=$E81,$D81,IF(AK$2&gt;AK$257,0,IF($C81=AK$2,"PAGAR"&amp;" "&amp;TEXT($B81," #.##0,00"),0)))</f>
        <v>0</v>
      </c>
      <c r="AL81" s="111">
        <f>+IF(AL$2=$E81,$D81,IF(AL$2&gt;AL$257,0,IF($C81=AL$2,"PAGAR"&amp;" "&amp;TEXT($B81," #.##0,00"),0)))</f>
        <v>0</v>
      </c>
      <c r="AM81" s="111">
        <f>+IF(AM$2=$E81,$D81,IF(AM$2&gt;AM$257,0,IF($C81=AM$2,"PAGAR"&amp;" "&amp;TEXT($B81," #.##0,00"),0)))</f>
        <v>0</v>
      </c>
      <c r="AN81" s="111">
        <f t="shared" ca="1" si="14"/>
        <v>0</v>
      </c>
      <c r="AO81" s="287">
        <f t="shared" si="15"/>
        <v>859.92</v>
      </c>
      <c r="AZ81" s="224"/>
      <c r="BA81" s="224"/>
      <c r="BB81" s="224"/>
      <c r="BC81" s="224"/>
      <c r="BD81" s="224"/>
    </row>
    <row r="82" spans="1:56" x14ac:dyDescent="0.25">
      <c r="A82" s="212" t="s">
        <v>161</v>
      </c>
      <c r="B82" s="90">
        <v>300</v>
      </c>
      <c r="C82" s="91">
        <v>1</v>
      </c>
      <c r="D82" s="97"/>
      <c r="E82" s="166"/>
      <c r="F82" s="84">
        <f ca="1">+IF(TODAY()&lt;DATEVALUE(1&amp;D$1&amp;E$1),0,IF(C82&gt;0,IF(C82-SUM(I$255:AM$255)&lt;0,B82-SUM(I82:AM82,0),0),0))+IF(C82=-1,B82-SUM(J82:AM82))</f>
        <v>300</v>
      </c>
      <c r="G82" s="1">
        <f t="shared" si="13"/>
        <v>0</v>
      </c>
      <c r="H82" s="14"/>
      <c r="I82" s="111" t="str">
        <f>IF(I$2=$E82,$D82,IF(I$2&gt;I$257,0,IF($C82=I$2,"PAGAR"&amp;" "&amp;TEXT($B82," #.##0,00"),IF($C82=-1,"PAGAR"&amp;" "&amp;TEXT($B82," #.##0,00"),0))))</f>
        <v>PAGAR  300,00</v>
      </c>
      <c r="J82" s="111">
        <f>+IF(J$2=$E82,$D82,IF(J$2&gt;J$257,0,IF($C82=J$2,"PAGAR"&amp;" "&amp;TEXT($B82," #.##0,00"),0)))</f>
        <v>0</v>
      </c>
      <c r="K82" s="111">
        <f>+IF(K$2=$E82,$D82,IF(K$2&gt;K$257,0,IF($C82=K$2,"PAGAR"&amp;" "&amp;TEXT($B82," #.##0,00"),0)))</f>
        <v>0</v>
      </c>
      <c r="L82" s="111">
        <f>+IF(L$2=$E82,$D82,IF(L$2&gt;L$257,0,IF($C82=L$2,"PAGAR"&amp;" "&amp;TEXT($B82," #.##0,00"),0)))</f>
        <v>0</v>
      </c>
      <c r="M82" s="111">
        <f>+IF(M$2=$E82,$D82,IF(M$2&gt;M$257,0,IF($C82=M$2,"PAGAR"&amp;" "&amp;TEXT($B82," #.##0,00"),0)))</f>
        <v>0</v>
      </c>
      <c r="N82" s="111">
        <f>+IF(N$2=$E82,$D82,IF(N$2&gt;N$257,0,IF($C82=N$2,"PAGAR"&amp;" "&amp;TEXT($B82," #.##0,00"),0)))</f>
        <v>0</v>
      </c>
      <c r="O82" s="111">
        <f>+IF(O$2=$E82,$D82,IF(O$2&gt;O$257,0,IF($C82=O$2,"PAGAR"&amp;" "&amp;TEXT($B82," #.##0,00"),0)))</f>
        <v>0</v>
      </c>
      <c r="P82" s="111">
        <f>+IF(P$2=$E82,$D82,IF(P$2&gt;P$257,0,IF($C82=P$2,"PAGAR"&amp;" "&amp;TEXT($B82," #.##0,00"),0)))</f>
        <v>0</v>
      </c>
      <c r="Q82" s="111">
        <f>+IF(Q$2=$E82,$D82,IF(Q$2&gt;Q$257,0,IF($C82=Q$2,"PAGAR"&amp;" "&amp;TEXT($B82," #.##0,00"),0)))</f>
        <v>0</v>
      </c>
      <c r="R82" s="111">
        <f>+IF(R$2=$E82,$D82,IF(R$2&gt;R$257,0,IF($C82=R$2,"PAGAR"&amp;" "&amp;TEXT($B82," #.##0,00"),0)))</f>
        <v>0</v>
      </c>
      <c r="S82" s="111">
        <f>+IF(S$2=$E82,$D82,IF(S$2&gt;S$257,0,IF($C82=S$2,"PAGAR"&amp;" "&amp;TEXT($B82," #.##0,00"),0)))</f>
        <v>0</v>
      </c>
      <c r="T82" s="111">
        <f>+IF(T$2=$E82,$D82,IF(T$2&gt;T$257,0,IF($C82=T$2,"PAGAR"&amp;" "&amp;TEXT($B82," #.##0,00"),0)))</f>
        <v>0</v>
      </c>
      <c r="U82" s="111">
        <f>+IF(U$2=$E82,$D82,IF(U$2&gt;U$257,0,IF($C82=U$2,"PAGAR"&amp;" "&amp;TEXT($B82," #.##0,00"),0)))</f>
        <v>0</v>
      </c>
      <c r="V82" s="111">
        <f>+IF(V$2=$E82,$D82,IF(V$2&gt;V$257,0,IF($C82=V$2,"PAGAR"&amp;" "&amp;TEXT($B82," #.##0,00"),0)))</f>
        <v>0</v>
      </c>
      <c r="W82" s="111">
        <f>+IF(W$2=$E82,$D82,IF(W$2&gt;W$257,0,IF($C82=W$2,"PAGAR"&amp;" "&amp;TEXT($B82," #.##0,00"),0)))</f>
        <v>0</v>
      </c>
      <c r="X82" s="111">
        <f>+IF(X$2=$E82,$D82,IF(X$2&gt;X$257,0,IF($C82=X$2,"PAGAR"&amp;" "&amp;TEXT($B82," #.##0,00"),0)))</f>
        <v>0</v>
      </c>
      <c r="Y82" s="111">
        <f>+IF(Y$2=$E82,$D82,IF(Y$2&gt;Y$257,0,IF($C82=Y$2,"PAGAR"&amp;" "&amp;TEXT($B82," #.##0,00"),0)))</f>
        <v>0</v>
      </c>
      <c r="Z82" s="111">
        <f>+IF(Z$2=$E82,$D82,IF(Z$2&gt;Z$257,0,IF($C82=Z$2,"PAGAR"&amp;" "&amp;TEXT($B82," #.##0,00"),0)))</f>
        <v>0</v>
      </c>
      <c r="AA82" s="111">
        <f>+IF(AA$2=$E82,$D82,IF(AA$2&gt;AA$257,0,IF($C82=AA$2,"PAGAR"&amp;" "&amp;TEXT($B82," #.##0,00"),0)))</f>
        <v>0</v>
      </c>
      <c r="AB82" s="111">
        <f>+IF(AB$2=$E82,$D82,IF(AB$2&gt;AB$257,0,IF($C82=AB$2,"PAGAR"&amp;" "&amp;TEXT($B82," #.##0,00"),0)))</f>
        <v>0</v>
      </c>
      <c r="AC82" s="111">
        <f>+IF(AC$2=$E82,$D82,IF(AC$2&gt;AC$257,0,IF($C82=AC$2,"PAGAR"&amp;" "&amp;TEXT($B82," #.##0,00"),0)))</f>
        <v>0</v>
      </c>
      <c r="AD82" s="111">
        <f>+IF(AD$2=$E82,$D82,IF(AD$2&gt;AD$257,0,IF($C82=AD$2,"PAGAR"&amp;" "&amp;TEXT($B82," #.##0,00"),0)))</f>
        <v>0</v>
      </c>
      <c r="AE82" s="111">
        <f>+IF(AE$2=$E82,$D82,IF(AE$2&gt;AE$257,0,IF($C82=AE$2,"PAGAR"&amp;" "&amp;TEXT($B82," #.##0,00"),0)))</f>
        <v>0</v>
      </c>
      <c r="AF82" s="111">
        <f>+IF(AF$2=$E82,$D82,IF(AF$2&gt;AF$257,0,IF($C82=AF$2,"PAGAR"&amp;" "&amp;TEXT($B82," #.##0,00"),0)))</f>
        <v>0</v>
      </c>
      <c r="AG82" s="111">
        <f>+IF(AG$2=$E82,$D82,IF(AG$2&gt;AG$257,0,IF($C82=AG$2,"PAGAR"&amp;" "&amp;TEXT($B82," #.##0,00"),0)))</f>
        <v>0</v>
      </c>
      <c r="AH82" s="111">
        <f>+IF(AH$2=$E82,$D82,IF(AH$2&gt;AH$257,0,IF($C82=AH$2,"PAGAR"&amp;" "&amp;TEXT($B82," #.##0,00"),0)))</f>
        <v>0</v>
      </c>
      <c r="AI82" s="111">
        <f>+IF(AI$2=$E82,$D82,IF(AI$2&gt;AI$257,0,IF($C82=AI$2,"PAGAR"&amp;" "&amp;TEXT($B82," #.##0,00"),0)))</f>
        <v>0</v>
      </c>
      <c r="AJ82" s="111">
        <f>+IF(AJ$2=$E82,$D82,IF(AJ$2&gt;AJ$257,0,IF($C82=AJ$2,"PAGAR"&amp;" "&amp;TEXT($B82," #.##0,00"),0)))</f>
        <v>0</v>
      </c>
      <c r="AK82" s="111">
        <f>+IF(AK$2=$E82,$D82,IF(AK$2&gt;AK$257,0,IF($C82=AK$2,"PAGAR"&amp;" "&amp;TEXT($B82," #.##0,00"),0)))</f>
        <v>0</v>
      </c>
      <c r="AL82" s="111">
        <f>+IF(AL$2=$E82,$D82,IF(AL$2&gt;AL$257,0,IF($C82=AL$2,"PAGAR"&amp;" "&amp;TEXT($B82," #.##0,00"),0)))</f>
        <v>0</v>
      </c>
      <c r="AM82" s="111">
        <f>+IF(AM$2=$E82,$D82,IF(AM$2&gt;AM$257,0,IF($C82=AM$2,"PAGAR"&amp;" "&amp;TEXT($B82," #.##0,00"),0)))</f>
        <v>0</v>
      </c>
      <c r="AN82" s="111">
        <f t="shared" ca="1" si="14"/>
        <v>0</v>
      </c>
      <c r="AO82" s="287">
        <f t="shared" si="15"/>
        <v>0</v>
      </c>
      <c r="AZ82" s="224"/>
      <c r="BA82" s="224"/>
      <c r="BB82" s="224"/>
      <c r="BC82" s="224"/>
      <c r="BD82" s="224"/>
    </row>
    <row r="83" spans="1:56" x14ac:dyDescent="0.25">
      <c r="A83" s="212" t="s">
        <v>152</v>
      </c>
      <c r="B83" s="90">
        <v>159.63999999999999</v>
      </c>
      <c r="C83" s="91">
        <v>12</v>
      </c>
      <c r="D83" s="97"/>
      <c r="E83" s="166"/>
      <c r="F83" s="84">
        <f ca="1">+IF(TODAY()&lt;DATEVALUE(1&amp;D$1&amp;E$1),0,IF(C83&gt;0,IF(C83-SUM(I$255:AM$255)&lt;0,B83-SUM(I83:AM83,0),0),0))+IF(C83=-1,B83-SUM(J83:AM83))</f>
        <v>159.63999999999999</v>
      </c>
      <c r="G83" s="1">
        <f t="shared" si="13"/>
        <v>0</v>
      </c>
      <c r="H83" s="14"/>
      <c r="I83" s="111">
        <f>IF(I$2=$E83,$D83,IF(I$2&gt;I$257,0,IF($C83=I$2,"PAGAR"&amp;" "&amp;TEXT($B83," #.##0,00"),IF($C83=-1,"PAGAR"&amp;" "&amp;TEXT($B83," #.##0,00"),0))))</f>
        <v>0</v>
      </c>
      <c r="J83" s="111">
        <f>+IF(J$2=$E83,$D83,IF(J$2&gt;J$257,0,IF($C83=J$2,"PAGAR"&amp;" "&amp;TEXT($B83," #.##0,00"),0)))</f>
        <v>0</v>
      </c>
      <c r="K83" s="111">
        <f>+IF(K$2=$E83,$D83,IF(K$2&gt;K$257,0,IF($C83=K$2,"PAGAR"&amp;" "&amp;TEXT($B83," #.##0,00"),0)))</f>
        <v>0</v>
      </c>
      <c r="L83" s="111">
        <f>+IF(L$2=$E83,$D83,IF(L$2&gt;L$257,0,IF($C83=L$2,"PAGAR"&amp;" "&amp;TEXT($B83," #.##0,00"),0)))</f>
        <v>0</v>
      </c>
      <c r="M83" s="111">
        <f>+IF(M$2=$E83,$D83,IF(M$2&gt;M$257,0,IF($C83=M$2,"PAGAR"&amp;" "&amp;TEXT($B83," #.##0,00"),0)))</f>
        <v>0</v>
      </c>
      <c r="N83" s="111">
        <f>+IF(N$2=$E83,$D83,IF(N$2&gt;N$257,0,IF($C83=N$2,"PAGAR"&amp;" "&amp;TEXT($B83," #.##0,00"),0)))</f>
        <v>0</v>
      </c>
      <c r="O83" s="111">
        <f>+IF(O$2=$E83,$D83,IF(O$2&gt;O$257,0,IF($C83=O$2,"PAGAR"&amp;" "&amp;TEXT($B83," #.##0,00"),0)))</f>
        <v>0</v>
      </c>
      <c r="P83" s="111">
        <f>+IF(P$2=$E83,$D83,IF(P$2&gt;P$257,0,IF($C83=P$2,"PAGAR"&amp;" "&amp;TEXT($B83," #.##0,00"),0)))</f>
        <v>0</v>
      </c>
      <c r="Q83" s="111">
        <f>+IF(Q$2=$E83,$D83,IF(Q$2&gt;Q$257,0,IF($C83=Q$2,"PAGAR"&amp;" "&amp;TEXT($B83," #.##0,00"),0)))</f>
        <v>0</v>
      </c>
      <c r="R83" s="111">
        <f>+IF(R$2=$E83,$D83,IF(R$2&gt;R$257,0,IF($C83=R$2,"PAGAR"&amp;" "&amp;TEXT($B83," #.##0,00"),0)))</f>
        <v>0</v>
      </c>
      <c r="S83" s="111">
        <f>+IF(S$2=$E83,$D83,IF(S$2&gt;S$257,0,IF($C83=S$2,"PAGAR"&amp;" "&amp;TEXT($B83," #.##0,00"),0)))</f>
        <v>0</v>
      </c>
      <c r="T83" s="111" t="str">
        <f>+IF(T$2=$E83,$D83,IF(T$2&gt;T$257,0,IF($C83=T$2,"PAGAR"&amp;" "&amp;TEXT($B83," #.##0,00"),0)))</f>
        <v>PAGAR  159,64</v>
      </c>
      <c r="U83" s="111">
        <f>+IF(U$2=$E83,$D83,IF(U$2&gt;U$257,0,IF($C83=U$2,"PAGAR"&amp;" "&amp;TEXT($B83," #.##0,00"),0)))</f>
        <v>0</v>
      </c>
      <c r="V83" s="111">
        <f>+IF(V$2=$E83,$D83,IF(V$2&gt;V$257,0,IF($C83=V$2,"PAGAR"&amp;" "&amp;TEXT($B83," #.##0,00"),0)))</f>
        <v>0</v>
      </c>
      <c r="W83" s="111">
        <f>+IF(W$2=$E83,$D83,IF(W$2&gt;W$257,0,IF($C83=W$2,"PAGAR"&amp;" "&amp;TEXT($B83," #.##0,00"),0)))</f>
        <v>0</v>
      </c>
      <c r="X83" s="111">
        <f>+IF(X$2=$E83,$D83,IF(X$2&gt;X$257,0,IF($C83=X$2,"PAGAR"&amp;" "&amp;TEXT($B83," #.##0,00"),0)))</f>
        <v>0</v>
      </c>
      <c r="Y83" s="111">
        <f>+IF(Y$2=$E83,$D83,IF(Y$2&gt;Y$257,0,IF($C83=Y$2,"PAGAR"&amp;" "&amp;TEXT($B83," #.##0,00"),0)))</f>
        <v>0</v>
      </c>
      <c r="Z83" s="111">
        <f>+IF(Z$2=$E83,$D83,IF(Z$2&gt;Z$257,0,IF($C83=Z$2,"PAGAR"&amp;" "&amp;TEXT($B83," #.##0,00"),0)))</f>
        <v>0</v>
      </c>
      <c r="AA83" s="111">
        <f>+IF(AA$2=$E83,$D83,IF(AA$2&gt;AA$257,0,IF($C83=AA$2,"PAGAR"&amp;" "&amp;TEXT($B83," #.##0,00"),0)))</f>
        <v>0</v>
      </c>
      <c r="AB83" s="111">
        <f>+IF(AB$2=$E83,$D83,IF(AB$2&gt;AB$257,0,IF($C83=AB$2,"PAGAR"&amp;" "&amp;TEXT($B83," #.##0,00"),0)))</f>
        <v>0</v>
      </c>
      <c r="AC83" s="111">
        <f>+IF(AC$2=$E83,$D83,IF(AC$2&gt;AC$257,0,IF($C83=AC$2,"PAGAR"&amp;" "&amp;TEXT($B83," #.##0,00"),0)))</f>
        <v>0</v>
      </c>
      <c r="AD83" s="111">
        <f>+IF(AD$2=$E83,$D83,IF(AD$2&gt;AD$257,0,IF($C83=AD$2,"PAGAR"&amp;" "&amp;TEXT($B83," #.##0,00"),0)))</f>
        <v>0</v>
      </c>
      <c r="AE83" s="111">
        <f>+IF(AE$2=$E83,$D83,IF(AE$2&gt;AE$257,0,IF($C83=AE$2,"PAGAR"&amp;" "&amp;TEXT($B83," #.##0,00"),0)))</f>
        <v>0</v>
      </c>
      <c r="AF83" s="111">
        <f>+IF(AF$2=$E83,$D83,IF(AF$2&gt;AF$257,0,IF($C83=AF$2,"PAGAR"&amp;" "&amp;TEXT($B83," #.##0,00"),0)))</f>
        <v>0</v>
      </c>
      <c r="AG83" s="111">
        <f>+IF(AG$2=$E83,$D83,IF(AG$2&gt;AG$257,0,IF($C83=AG$2,"PAGAR"&amp;" "&amp;TEXT($B83," #.##0,00"),0)))</f>
        <v>0</v>
      </c>
      <c r="AH83" s="111">
        <f>+IF(AH$2=$E83,$D83,IF(AH$2&gt;AH$257,0,IF($C83=AH$2,"PAGAR"&amp;" "&amp;TEXT($B83," #.##0,00"),0)))</f>
        <v>0</v>
      </c>
      <c r="AI83" s="111">
        <f>+IF(AI$2=$E83,$D83,IF(AI$2&gt;AI$257,0,IF($C83=AI$2,"PAGAR"&amp;" "&amp;TEXT($B83," #.##0,00"),0)))</f>
        <v>0</v>
      </c>
      <c r="AJ83" s="111">
        <f>+IF(AJ$2=$E83,$D83,IF(AJ$2&gt;AJ$257,0,IF($C83=AJ$2,"PAGAR"&amp;" "&amp;TEXT($B83," #.##0,00"),0)))</f>
        <v>0</v>
      </c>
      <c r="AK83" s="111">
        <f>+IF(AK$2=$E83,$D83,IF(AK$2&gt;AK$257,0,IF($C83=AK$2,"PAGAR"&amp;" "&amp;TEXT($B83," #.##0,00"),0)))</f>
        <v>0</v>
      </c>
      <c r="AL83" s="111">
        <f>+IF(AL$2=$E83,$D83,IF(AL$2&gt;AL$257,0,IF($C83=AL$2,"PAGAR"&amp;" "&amp;TEXT($B83," #.##0,00"),0)))</f>
        <v>0</v>
      </c>
      <c r="AM83" s="111">
        <f>+IF(AM$2=$E83,$D83,IF(AM$2&gt;AM$257,0,IF($C83=AM$2,"PAGAR"&amp;" "&amp;TEXT($B83," #.##0,00"),0)))</f>
        <v>0</v>
      </c>
      <c r="AN83" s="111">
        <f t="shared" ca="1" si="14"/>
        <v>0</v>
      </c>
      <c r="AO83" s="287">
        <f t="shared" si="15"/>
        <v>0</v>
      </c>
      <c r="AZ83" s="224"/>
      <c r="BA83" s="224"/>
      <c r="BB83" s="224"/>
      <c r="BC83" s="224"/>
      <c r="BD83" s="224"/>
    </row>
    <row r="84" spans="1:56" x14ac:dyDescent="0.25">
      <c r="A84" s="212" t="s">
        <v>160</v>
      </c>
      <c r="B84" s="90">
        <v>173.49</v>
      </c>
      <c r="C84" s="91">
        <v>6</v>
      </c>
      <c r="D84" s="97"/>
      <c r="E84" s="166"/>
      <c r="F84" s="84">
        <f ca="1">+IF(TODAY()&lt;DATEVALUE(1&amp;D$1&amp;E$1),0,IF(C84&gt;0,IF(C84-SUM(I$255:AM$255)&lt;0,B84-SUM(I84:AM84,0),0),0))+IF(C84=-1,B84-SUM(J84:AM84))</f>
        <v>173.49</v>
      </c>
      <c r="G84" s="1">
        <f t="shared" si="13"/>
        <v>0</v>
      </c>
      <c r="H84" s="14"/>
      <c r="I84" s="111">
        <f>IF(I$2=$E84,$D84,IF(I$2&gt;I$257,0,IF($C84=I$2,"PAGAR"&amp;" "&amp;TEXT($B84," #.##0,00"),IF($C84=-1,"PAGAR"&amp;" "&amp;TEXT($B84," #.##0,00"),0))))</f>
        <v>0</v>
      </c>
      <c r="J84" s="111">
        <f>+IF(J$2=$E84,$D84,IF(J$2&gt;J$257,0,IF($C84=J$2,"PAGAR"&amp;" "&amp;TEXT($B84," #.##0,00"),0)))</f>
        <v>0</v>
      </c>
      <c r="K84" s="111">
        <f>+IF(K$2=$E84,$D84,IF(K$2&gt;K$257,0,IF($C84=K$2,"PAGAR"&amp;" "&amp;TEXT($B84," #.##0,00"),0)))</f>
        <v>0</v>
      </c>
      <c r="L84" s="111">
        <f>+IF(L$2=$E84,$D84,IF(L$2&gt;L$257,0,IF($C84=L$2,"PAGAR"&amp;" "&amp;TEXT($B84," #.##0,00"),0)))</f>
        <v>0</v>
      </c>
      <c r="M84" s="111">
        <f>+IF(M$2=$E84,$D84,IF(M$2&gt;M$257,0,IF($C84=M$2,"PAGAR"&amp;" "&amp;TEXT($B84," #.##0,00"),0)))</f>
        <v>0</v>
      </c>
      <c r="N84" s="111" t="str">
        <f>+IF(N$2=$E84,$D84,IF(N$2&gt;N$257,0,IF($C84=N$2,"PAGAR"&amp;" "&amp;TEXT($B84," #.##0,00"),0)))</f>
        <v>PAGAR  173,49</v>
      </c>
      <c r="O84" s="111">
        <f>+IF(O$2=$E84,$D84,IF(O$2&gt;O$257,0,IF($C84=O$2,"PAGAR"&amp;" "&amp;TEXT($B84," #.##0,00"),0)))</f>
        <v>0</v>
      </c>
      <c r="P84" s="111">
        <f>+IF(P$2=$E84,$D84,IF(P$2&gt;P$257,0,IF($C84=P$2,"PAGAR"&amp;" "&amp;TEXT($B84," #.##0,00"),0)))</f>
        <v>0</v>
      </c>
      <c r="Q84" s="111">
        <f>+IF(Q$2=$E84,$D84,IF(Q$2&gt;Q$257,0,IF($C84=Q$2,"PAGAR"&amp;" "&amp;TEXT($B84," #.##0,00"),0)))</f>
        <v>0</v>
      </c>
      <c r="R84" s="111">
        <f>+IF(R$2=$E84,$D84,IF(R$2&gt;R$257,0,IF($C84=R$2,"PAGAR"&amp;" "&amp;TEXT($B84," #.##0,00"),0)))</f>
        <v>0</v>
      </c>
      <c r="S84" s="111">
        <f>+IF(S$2=$E84,$D84,IF(S$2&gt;S$257,0,IF($C84=S$2,"PAGAR"&amp;" "&amp;TEXT($B84," #.##0,00"),0)))</f>
        <v>0</v>
      </c>
      <c r="T84" s="111">
        <f>+IF(T$2=$E84,$D84,IF(T$2&gt;T$257,0,IF($C84=T$2,"PAGAR"&amp;" "&amp;TEXT($B84," #.##0,00"),0)))</f>
        <v>0</v>
      </c>
      <c r="U84" s="111">
        <f>+IF(U$2=$E84,$D84,IF(U$2&gt;U$257,0,IF($C84=U$2,"PAGAR"&amp;" "&amp;TEXT($B84," #.##0,00"),0)))</f>
        <v>0</v>
      </c>
      <c r="V84" s="111">
        <f>+IF(V$2=$E84,$D84,IF(V$2&gt;V$257,0,IF($C84=V$2,"PAGAR"&amp;" "&amp;TEXT($B84," #.##0,00"),0)))</f>
        <v>0</v>
      </c>
      <c r="W84" s="111">
        <f>+IF(W$2=$E84,$D84,IF(W$2&gt;W$257,0,IF($C84=W$2,"PAGAR"&amp;" "&amp;TEXT($B84," #.##0,00"),0)))</f>
        <v>0</v>
      </c>
      <c r="X84" s="111">
        <f>+IF(X$2=$E84,$D84,IF(X$2&gt;X$257,0,IF($C84=X$2,"PAGAR"&amp;" "&amp;TEXT($B84," #.##0,00"),0)))</f>
        <v>0</v>
      </c>
      <c r="Y84" s="111">
        <f>+IF(Y$2=$E84,$D84,IF(Y$2&gt;Y$257,0,IF($C84=Y$2,"PAGAR"&amp;" "&amp;TEXT($B84," #.##0,00"),0)))</f>
        <v>0</v>
      </c>
      <c r="Z84" s="111">
        <f>+IF(Z$2=$E84,$D84,IF(Z$2&gt;Z$257,0,IF($C84=Z$2,"PAGAR"&amp;" "&amp;TEXT($B84," #.##0,00"),0)))</f>
        <v>0</v>
      </c>
      <c r="AA84" s="111">
        <f>+IF(AA$2=$E84,$D84,IF(AA$2&gt;AA$257,0,IF($C84=AA$2,"PAGAR"&amp;" "&amp;TEXT($B84," #.##0,00"),0)))</f>
        <v>0</v>
      </c>
      <c r="AB84" s="111">
        <f>+IF(AB$2=$E84,$D84,IF(AB$2&gt;AB$257,0,IF($C84=AB$2,"PAGAR"&amp;" "&amp;TEXT($B84," #.##0,00"),0)))</f>
        <v>0</v>
      </c>
      <c r="AC84" s="111">
        <f>+IF(AC$2=$E84,$D84,IF(AC$2&gt;AC$257,0,IF($C84=AC$2,"PAGAR"&amp;" "&amp;TEXT($B84," #.##0,00"),0)))</f>
        <v>0</v>
      </c>
      <c r="AD84" s="111">
        <f>+IF(AD$2=$E84,$D84,IF(AD$2&gt;AD$257,0,IF($C84=AD$2,"PAGAR"&amp;" "&amp;TEXT($B84," #.##0,00"),0)))</f>
        <v>0</v>
      </c>
      <c r="AE84" s="111">
        <f>+IF(AE$2=$E84,$D84,IF(AE$2&gt;AE$257,0,IF($C84=AE$2,"PAGAR"&amp;" "&amp;TEXT($B84," #.##0,00"),0)))</f>
        <v>0</v>
      </c>
      <c r="AF84" s="111">
        <f>+IF(AF$2=$E84,$D84,IF(AF$2&gt;AF$257,0,IF($C84=AF$2,"PAGAR"&amp;" "&amp;TEXT($B84," #.##0,00"),0)))</f>
        <v>0</v>
      </c>
      <c r="AG84" s="111">
        <f>+IF(AG$2=$E84,$D84,IF(AG$2&gt;AG$257,0,IF($C84=AG$2,"PAGAR"&amp;" "&amp;TEXT($B84," #.##0,00"),0)))</f>
        <v>0</v>
      </c>
      <c r="AH84" s="111">
        <f>+IF(AH$2=$E84,$D84,IF(AH$2&gt;AH$257,0,IF($C84=AH$2,"PAGAR"&amp;" "&amp;TEXT($B84," #.##0,00"),0)))</f>
        <v>0</v>
      </c>
      <c r="AI84" s="111">
        <f>+IF(AI$2=$E84,$D84,IF(AI$2&gt;AI$257,0,IF($C84=AI$2,"PAGAR"&amp;" "&amp;TEXT($B84," #.##0,00"),0)))</f>
        <v>0</v>
      </c>
      <c r="AJ84" s="111">
        <f>+IF(AJ$2=$E84,$D84,IF(AJ$2&gt;AJ$257,0,IF($C84=AJ$2,"PAGAR"&amp;" "&amp;TEXT($B84," #.##0,00"),0)))</f>
        <v>0</v>
      </c>
      <c r="AK84" s="111">
        <f>+IF(AK$2=$E84,$D84,IF(AK$2&gt;AK$257,0,IF($C84=AK$2,"PAGAR"&amp;" "&amp;TEXT($B84," #.##0,00"),0)))</f>
        <v>0</v>
      </c>
      <c r="AL84" s="111">
        <f>+IF(AL$2=$E84,$D84,IF(AL$2&gt;AL$257,0,IF($C84=AL$2,"PAGAR"&amp;" "&amp;TEXT($B84," #.##0,00"),0)))</f>
        <v>0</v>
      </c>
      <c r="AM84" s="111">
        <f>+IF(AM$2=$E84,$D84,IF(AM$2&gt;AM$257,0,IF($C84=AM$2,"PAGAR"&amp;" "&amp;TEXT($B84," #.##0,00"),0)))</f>
        <v>0</v>
      </c>
      <c r="AN84" s="111">
        <f t="shared" ca="1" si="14"/>
        <v>0</v>
      </c>
      <c r="AO84" s="287">
        <f t="shared" si="15"/>
        <v>0</v>
      </c>
      <c r="AZ84" s="224"/>
      <c r="BA84" s="224"/>
      <c r="BB84" s="224"/>
      <c r="BC84" s="224"/>
      <c r="BD84" s="224"/>
    </row>
    <row r="85" spans="1:56" x14ac:dyDescent="0.25">
      <c r="A85" s="212" t="s">
        <v>182</v>
      </c>
      <c r="B85" s="90">
        <v>291.10000000000002</v>
      </c>
      <c r="C85" s="91">
        <v>6</v>
      </c>
      <c r="D85" s="97"/>
      <c r="E85" s="166"/>
      <c r="F85" s="84">
        <f ca="1">+IF(TODAY()&lt;DATEVALUE(1&amp;D$1&amp;E$1),0,IF(C85&gt;0,IF(C85-SUM(I$255:AM$255)&lt;0,B85-SUM(I85:AM85,0),0),0))+IF(C85=-1,B85-SUM(J85:AM85))</f>
        <v>291.10000000000002</v>
      </c>
      <c r="G85" s="1">
        <f t="shared" si="13"/>
        <v>0</v>
      </c>
      <c r="H85" s="14"/>
      <c r="I85" s="111">
        <f>IF(I$2=$E85,$D85,IF(I$2&gt;I$257,0,IF($C85=I$2,"PAGAR"&amp;" "&amp;TEXT($B85," #.##0,00"),IF($C85=-1,"PAGAR"&amp;" "&amp;TEXT($B85," #.##0,00"),0))))</f>
        <v>0</v>
      </c>
      <c r="J85" s="111">
        <f>+IF(J$2=$E85,$D85,IF(J$2&gt;J$257,0,IF($C85=J$2,"PAGAR"&amp;" "&amp;TEXT($B85," #.##0,00"),0)))</f>
        <v>0</v>
      </c>
      <c r="K85" s="111">
        <f>+IF(K$2=$E85,$D85,IF(K$2&gt;K$257,0,IF($C85=K$2,"PAGAR"&amp;" "&amp;TEXT($B85," #.##0,00"),0)))</f>
        <v>0</v>
      </c>
      <c r="L85" s="111">
        <f>+IF(L$2=$E85,$D85,IF(L$2&gt;L$257,0,IF($C85=L$2,"PAGAR"&amp;" "&amp;TEXT($B85," #.##0,00"),0)))</f>
        <v>0</v>
      </c>
      <c r="M85" s="111">
        <f>+IF(M$2=$E85,$D85,IF(M$2&gt;M$257,0,IF($C85=M$2,"PAGAR"&amp;" "&amp;TEXT($B85," #.##0,00"),0)))</f>
        <v>0</v>
      </c>
      <c r="N85" s="111" t="str">
        <f>+IF(N$2=$E85,$D85,IF(N$2&gt;N$257,0,IF($C85=N$2,"PAGAR"&amp;" "&amp;TEXT($B85," #.##0,00"),0)))</f>
        <v>PAGAR  291,10</v>
      </c>
      <c r="O85" s="111">
        <f>+IF(O$2=$E85,$D85,IF(O$2&gt;O$257,0,IF($C85=O$2,"PAGAR"&amp;" "&amp;TEXT($B85," #.##0,00"),0)))</f>
        <v>0</v>
      </c>
      <c r="P85" s="111">
        <f>+IF(P$2=$E85,$D85,IF(P$2&gt;P$257,0,IF($C85=P$2,"PAGAR"&amp;" "&amp;TEXT($B85," #.##0,00"),0)))</f>
        <v>0</v>
      </c>
      <c r="Q85" s="111">
        <f>+IF(Q$2=$E85,$D85,IF(Q$2&gt;Q$257,0,IF($C85=Q$2,"PAGAR"&amp;" "&amp;TEXT($B85," #.##0,00"),0)))</f>
        <v>0</v>
      </c>
      <c r="R85" s="111">
        <f>+IF(R$2=$E85,$D85,IF(R$2&gt;R$257,0,IF($C85=R$2,"PAGAR"&amp;" "&amp;TEXT($B85," #.##0,00"),0)))</f>
        <v>0</v>
      </c>
      <c r="S85" s="111">
        <f>+IF(S$2=$E85,$D85,IF(S$2&gt;S$257,0,IF($C85=S$2,"PAGAR"&amp;" "&amp;TEXT($B85," #.##0,00"),0)))</f>
        <v>0</v>
      </c>
      <c r="T85" s="111">
        <f>+IF(T$2=$E85,$D85,IF(T$2&gt;T$257,0,IF($C85=T$2,"PAGAR"&amp;" "&amp;TEXT($B85," #.##0,00"),0)))</f>
        <v>0</v>
      </c>
      <c r="U85" s="111">
        <f>+IF(U$2=$E85,$D85,IF(U$2&gt;U$257,0,IF($C85=U$2,"PAGAR"&amp;" "&amp;TEXT($B85," #.##0,00"),0)))</f>
        <v>0</v>
      </c>
      <c r="V85" s="111">
        <f>+IF(V$2=$E85,$D85,IF(V$2&gt;V$257,0,IF($C85=V$2,"PAGAR"&amp;" "&amp;TEXT($B85," #.##0,00"),0)))</f>
        <v>0</v>
      </c>
      <c r="W85" s="111">
        <f>+IF(W$2=$E85,$D85,IF(W$2&gt;W$257,0,IF($C85=W$2,"PAGAR"&amp;" "&amp;TEXT($B85," #.##0,00"),0)))</f>
        <v>0</v>
      </c>
      <c r="X85" s="111">
        <f>+IF(X$2=$E85,$D85,IF(X$2&gt;X$257,0,IF($C85=X$2,"PAGAR"&amp;" "&amp;TEXT($B85," #.##0,00"),0)))</f>
        <v>0</v>
      </c>
      <c r="Y85" s="111">
        <f>+IF(Y$2=$E85,$D85,IF(Y$2&gt;Y$257,0,IF($C85=Y$2,"PAGAR"&amp;" "&amp;TEXT($B85," #.##0,00"),0)))</f>
        <v>0</v>
      </c>
      <c r="Z85" s="111">
        <f>+IF(Z$2=$E85,$D85,IF(Z$2&gt;Z$257,0,IF($C85=Z$2,"PAGAR"&amp;" "&amp;TEXT($B85," #.##0,00"),0)))</f>
        <v>0</v>
      </c>
      <c r="AA85" s="111">
        <f>+IF(AA$2=$E85,$D85,IF(AA$2&gt;AA$257,0,IF($C85=AA$2,"PAGAR"&amp;" "&amp;TEXT($B85," #.##0,00"),0)))</f>
        <v>0</v>
      </c>
      <c r="AB85" s="111">
        <f>+IF(AB$2=$E85,$D85,IF(AB$2&gt;AB$257,0,IF($C85=AB$2,"PAGAR"&amp;" "&amp;TEXT($B85," #.##0,00"),0)))</f>
        <v>0</v>
      </c>
      <c r="AC85" s="111">
        <f>+IF(AC$2=$E85,$D85,IF(AC$2&gt;AC$257,0,IF($C85=AC$2,"PAGAR"&amp;" "&amp;TEXT($B85," #.##0,00"),0)))</f>
        <v>0</v>
      </c>
      <c r="AD85" s="111">
        <f>+IF(AD$2=$E85,$D85,IF(AD$2&gt;AD$257,0,IF($C85=AD$2,"PAGAR"&amp;" "&amp;TEXT($B85," #.##0,00"),0)))</f>
        <v>0</v>
      </c>
      <c r="AE85" s="111">
        <f>+IF(AE$2=$E85,$D85,IF(AE$2&gt;AE$257,0,IF($C85=AE$2,"PAGAR"&amp;" "&amp;TEXT($B85," #.##0,00"),0)))</f>
        <v>0</v>
      </c>
      <c r="AF85" s="111">
        <f>+IF(AF$2=$E85,$D85,IF(AF$2&gt;AF$257,0,IF($C85=AF$2,"PAGAR"&amp;" "&amp;TEXT($B85," #.##0,00"),0)))</f>
        <v>0</v>
      </c>
      <c r="AG85" s="111">
        <f>+IF(AG$2=$E85,$D85,IF(AG$2&gt;AG$257,0,IF($C85=AG$2,"PAGAR"&amp;" "&amp;TEXT($B85," #.##0,00"),0)))</f>
        <v>0</v>
      </c>
      <c r="AH85" s="111">
        <f>+IF(AH$2=$E85,$D85,IF(AH$2&gt;AH$257,0,IF($C85=AH$2,"PAGAR"&amp;" "&amp;TEXT($B85," #.##0,00"),0)))</f>
        <v>0</v>
      </c>
      <c r="AI85" s="111">
        <f>+IF(AI$2=$E85,$D85,IF(AI$2&gt;AI$257,0,IF($C85=AI$2,"PAGAR"&amp;" "&amp;TEXT($B85," #.##0,00"),0)))</f>
        <v>0</v>
      </c>
      <c r="AJ85" s="111">
        <f>+IF(AJ$2=$E85,$D85,IF(AJ$2&gt;AJ$257,0,IF($C85=AJ$2,"PAGAR"&amp;" "&amp;TEXT($B85," #.##0,00"),0)))</f>
        <v>0</v>
      </c>
      <c r="AK85" s="111">
        <f>+IF(AK$2=$E85,$D85,IF(AK$2&gt;AK$257,0,IF($C85=AK$2,"PAGAR"&amp;" "&amp;TEXT($B85," #.##0,00"),0)))</f>
        <v>0</v>
      </c>
      <c r="AL85" s="111">
        <f>+IF(AL$2=$E85,$D85,IF(AL$2&gt;AL$257,0,IF($C85=AL$2,"PAGAR"&amp;" "&amp;TEXT($B85," #.##0,00"),0)))</f>
        <v>0</v>
      </c>
      <c r="AM85" s="111">
        <f>+IF(AM$2=$E85,$D85,IF(AM$2&gt;AM$257,0,IF($C85=AM$2,"PAGAR"&amp;" "&amp;TEXT($B85," #.##0,00"),0)))</f>
        <v>0</v>
      </c>
      <c r="AN85" s="111">
        <f t="shared" ca="1" si="14"/>
        <v>0</v>
      </c>
      <c r="AO85" s="287">
        <f t="shared" si="15"/>
        <v>0</v>
      </c>
    </row>
    <row r="86" spans="1:56" x14ac:dyDescent="0.25">
      <c r="A86" s="212"/>
      <c r="B86" s="90"/>
      <c r="C86" s="91"/>
      <c r="D86" s="97"/>
      <c r="E86" s="166"/>
      <c r="F86" s="84">
        <f ca="1">+IF(TODAY()&lt;DATEVALUE(1&amp;D$1&amp;E$1),0,IF(C86&gt;0,IF(C86-SUM(I$255:AM$255)&lt;0,B86-SUM(I86:AM86,0),0),0))+IF(C86=-1,B86-SUM(J86:AM86))</f>
        <v>0</v>
      </c>
      <c r="G86" s="1" t="str">
        <f t="shared" si="13"/>
        <v>-</v>
      </c>
      <c r="H86" s="14"/>
      <c r="I86" s="111">
        <f>IF(I$2=$E86,$D86,IF(I$2&gt;I$257,0,IF($C86=I$2,"PAGAR"&amp;" "&amp;TEXT($B86," #.##0,00"),IF($C86=-1,"PAGAR"&amp;" "&amp;TEXT($B86," #.##0,00"),0))))</f>
        <v>0</v>
      </c>
      <c r="J86" s="111">
        <f>+IF(J$2=$E86,$D86,IF(J$2&gt;J$257,0,IF($C86=J$2,"PAGAR"&amp;" "&amp;TEXT($B86," #.##0,00"),0)))</f>
        <v>0</v>
      </c>
      <c r="K86" s="111">
        <f>+IF(K$2=$E86,$D86,IF(K$2&gt;K$257,0,IF($C86=K$2,"PAGAR"&amp;" "&amp;TEXT($B86," #.##0,00"),0)))</f>
        <v>0</v>
      </c>
      <c r="L86" s="111">
        <f>+IF(L$2=$E86,$D86,IF(L$2&gt;L$257,0,IF($C86=L$2,"PAGAR"&amp;" "&amp;TEXT($B86," #.##0,00"),0)))</f>
        <v>0</v>
      </c>
      <c r="M86" s="111">
        <f>+IF(M$2=$E86,$D86,IF(M$2&gt;M$257,0,IF($C86=M$2,"PAGAR"&amp;" "&amp;TEXT($B86," #.##0,00"),0)))</f>
        <v>0</v>
      </c>
      <c r="N86" s="111">
        <f>+IF(N$2=$E86,$D86,IF(N$2&gt;N$257,0,IF($C86=N$2,"PAGAR"&amp;" "&amp;TEXT($B86," #.##0,00"),0)))</f>
        <v>0</v>
      </c>
      <c r="O86" s="111">
        <f>+IF(O$2=$E86,$D86,IF(O$2&gt;O$257,0,IF($C86=O$2,"PAGAR"&amp;" "&amp;TEXT($B86," #.##0,00"),0)))</f>
        <v>0</v>
      </c>
      <c r="P86" s="111">
        <f>+IF(P$2=$E86,$D86,IF(P$2&gt;P$257,0,IF($C86=P$2,"PAGAR"&amp;" "&amp;TEXT($B86," #.##0,00"),0)))</f>
        <v>0</v>
      </c>
      <c r="Q86" s="111">
        <f>+IF(Q$2=$E86,$D86,IF(Q$2&gt;Q$257,0,IF($C86=Q$2,"PAGAR"&amp;" "&amp;TEXT($B86," #.##0,00"),0)))</f>
        <v>0</v>
      </c>
      <c r="R86" s="111">
        <f>+IF(R$2=$E86,$D86,IF(R$2&gt;R$257,0,IF($C86=R$2,"PAGAR"&amp;" "&amp;TEXT($B86," #.##0,00"),0)))</f>
        <v>0</v>
      </c>
      <c r="S86" s="111">
        <f>+IF(S$2=$E86,$D86,IF(S$2&gt;S$257,0,IF($C86=S$2,"PAGAR"&amp;" "&amp;TEXT($B86," #.##0,00"),0)))</f>
        <v>0</v>
      </c>
      <c r="T86" s="111">
        <f>+IF(T$2=$E86,$D86,IF(T$2&gt;T$257,0,IF($C86=T$2,"PAGAR"&amp;" "&amp;TEXT($B86," #.##0,00"),0)))</f>
        <v>0</v>
      </c>
      <c r="U86" s="111">
        <f>+IF(U$2=$E86,$D86,IF(U$2&gt;U$257,0,IF($C86=U$2,"PAGAR"&amp;" "&amp;TEXT($B86," #.##0,00"),0)))</f>
        <v>0</v>
      </c>
      <c r="V86" s="111">
        <f>+IF(V$2=$E86,$D86,IF(V$2&gt;V$257,0,IF($C86=V$2,"PAGAR"&amp;" "&amp;TEXT($B86," #.##0,00"),0)))</f>
        <v>0</v>
      </c>
      <c r="W86" s="111">
        <f>+IF(W$2=$E86,$D86,IF(W$2&gt;W$257,0,IF($C86=W$2,"PAGAR"&amp;" "&amp;TEXT($B86," #.##0,00"),0)))</f>
        <v>0</v>
      </c>
      <c r="X86" s="111">
        <f>+IF(X$2=$E86,$D86,IF(X$2&gt;X$257,0,IF($C86=X$2,"PAGAR"&amp;" "&amp;TEXT($B86," #.##0,00"),0)))</f>
        <v>0</v>
      </c>
      <c r="Y86" s="111">
        <f>+IF(Y$2=$E86,$D86,IF(Y$2&gt;Y$257,0,IF($C86=Y$2,"PAGAR"&amp;" "&amp;TEXT($B86," #.##0,00"),0)))</f>
        <v>0</v>
      </c>
      <c r="Z86" s="111">
        <f>+IF(Z$2=$E86,$D86,IF(Z$2&gt;Z$257,0,IF($C86=Z$2,"PAGAR"&amp;" "&amp;TEXT($B86," #.##0,00"),0)))</f>
        <v>0</v>
      </c>
      <c r="AA86" s="111">
        <f>+IF(AA$2=$E86,$D86,IF(AA$2&gt;AA$257,0,IF($C86=AA$2,"PAGAR"&amp;" "&amp;TEXT($B86," #.##0,00"),0)))</f>
        <v>0</v>
      </c>
      <c r="AB86" s="111">
        <f>+IF(AB$2=$E86,$D86,IF(AB$2&gt;AB$257,0,IF($C86=AB$2,"PAGAR"&amp;" "&amp;TEXT($B86," #.##0,00"),0)))</f>
        <v>0</v>
      </c>
      <c r="AC86" s="111">
        <f>+IF(AC$2=$E86,$D86,IF(AC$2&gt;AC$257,0,IF($C86=AC$2,"PAGAR"&amp;" "&amp;TEXT($B86," #.##0,00"),0)))</f>
        <v>0</v>
      </c>
      <c r="AD86" s="111">
        <f>+IF(AD$2=$E86,$D86,IF(AD$2&gt;AD$257,0,IF($C86=AD$2,"PAGAR"&amp;" "&amp;TEXT($B86," #.##0,00"),0)))</f>
        <v>0</v>
      </c>
      <c r="AE86" s="111">
        <f>+IF(AE$2=$E86,$D86,IF(AE$2&gt;AE$257,0,IF($C86=AE$2,"PAGAR"&amp;" "&amp;TEXT($B86," #.##0,00"),0)))</f>
        <v>0</v>
      </c>
      <c r="AF86" s="111">
        <f>+IF(AF$2=$E86,$D86,IF(AF$2&gt;AF$257,0,IF($C86=AF$2,"PAGAR"&amp;" "&amp;TEXT($B86," #.##0,00"),0)))</f>
        <v>0</v>
      </c>
      <c r="AG86" s="111">
        <f>+IF(AG$2=$E86,$D86,IF(AG$2&gt;AG$257,0,IF($C86=AG$2,"PAGAR"&amp;" "&amp;TEXT($B86," #.##0,00"),0)))</f>
        <v>0</v>
      </c>
      <c r="AH86" s="111">
        <f>+IF(AH$2=$E86,$D86,IF(AH$2&gt;AH$257,0,IF($C86=AH$2,"PAGAR"&amp;" "&amp;TEXT($B86," #.##0,00"),0)))</f>
        <v>0</v>
      </c>
      <c r="AI86" s="111">
        <f>+IF(AI$2=$E86,$D86,IF(AI$2&gt;AI$257,0,IF($C86=AI$2,"PAGAR"&amp;" "&amp;TEXT($B86," #.##0,00"),0)))</f>
        <v>0</v>
      </c>
      <c r="AJ86" s="111">
        <f>+IF(AJ$2=$E86,$D86,IF(AJ$2&gt;AJ$257,0,IF($C86=AJ$2,"PAGAR"&amp;" "&amp;TEXT($B86," #.##0,00"),0)))</f>
        <v>0</v>
      </c>
      <c r="AK86" s="111">
        <f>+IF(AK$2=$E86,$D86,IF(AK$2&gt;AK$257,0,IF($C86=AK$2,"PAGAR"&amp;" "&amp;TEXT($B86," #.##0,00"),0)))</f>
        <v>0</v>
      </c>
      <c r="AL86" s="111">
        <f>+IF(AL$2=$E86,$D86,IF(AL$2&gt;AL$257,0,IF($C86=AL$2,"PAGAR"&amp;" "&amp;TEXT($B86," #.##0,00"),0)))</f>
        <v>0</v>
      </c>
      <c r="AM86" s="111">
        <f>+IF(AM$2=$E86,$D86,IF(AM$2&gt;AM$257,0,IF($C86=AM$2,"PAGAR"&amp;" "&amp;TEXT($B86," #.##0,00"),0)))</f>
        <v>0</v>
      </c>
      <c r="AN86" s="111">
        <f t="shared" ca="1" si="14"/>
        <v>0</v>
      </c>
      <c r="AO86" s="287">
        <f t="shared" si="15"/>
        <v>0</v>
      </c>
    </row>
    <row r="87" spans="1:56" x14ac:dyDescent="0.25">
      <c r="A87" s="212"/>
      <c r="B87" s="90"/>
      <c r="C87" s="91"/>
      <c r="D87" s="97"/>
      <c r="E87" s="166"/>
      <c r="F87" s="84">
        <f ca="1">+IF(TODAY()&lt;DATEVALUE(1&amp;D$1&amp;E$1),0,IF(C87&gt;0,IF(C87-SUM(I$255:AM$255)&lt;0,B87-SUM(I87:AM87,0),0),0))+IF(C87=-1,B87-SUM(J87:AM87))</f>
        <v>0</v>
      </c>
      <c r="G87" s="1" t="str">
        <f t="shared" si="13"/>
        <v>-</v>
      </c>
      <c r="H87" s="14"/>
      <c r="I87" s="111">
        <f>IF(I$2=$E87,$D87,IF(I$2&gt;I$257,0,IF($C87=I$2,"PAGAR"&amp;" "&amp;TEXT($B87," #.##0,00"),IF($C87=-1,"PAGAR"&amp;" "&amp;TEXT($B87," #.##0,00"),0))))</f>
        <v>0</v>
      </c>
      <c r="J87" s="111">
        <f>+IF(J$2=$E87,$D87,IF(J$2&gt;J$257,0,IF($C87=J$2,"PAGAR"&amp;" "&amp;TEXT($B87," #.##0,00"),0)))</f>
        <v>0</v>
      </c>
      <c r="K87" s="111">
        <f>+IF(K$2=$E87,$D87,IF(K$2&gt;K$257,0,IF($C87=K$2,"PAGAR"&amp;" "&amp;TEXT($B87," #.##0,00"),0)))</f>
        <v>0</v>
      </c>
      <c r="L87" s="111">
        <f>+IF(L$2=$E87,$D87,IF(L$2&gt;L$257,0,IF($C87=L$2,"PAGAR"&amp;" "&amp;TEXT($B87," #.##0,00"),0)))</f>
        <v>0</v>
      </c>
      <c r="M87" s="111">
        <f>+IF(M$2=$E87,$D87,IF(M$2&gt;M$257,0,IF($C87=M$2,"PAGAR"&amp;" "&amp;TEXT($B87," #.##0,00"),0)))</f>
        <v>0</v>
      </c>
      <c r="N87" s="111">
        <f>+IF(N$2=$E87,$D87,IF(N$2&gt;N$257,0,IF($C87=N$2,"PAGAR"&amp;" "&amp;TEXT($B87," #.##0,00"),0)))</f>
        <v>0</v>
      </c>
      <c r="O87" s="111">
        <f>+IF(O$2=$E87,$D87,IF(O$2&gt;O$257,0,IF($C87=O$2,"PAGAR"&amp;" "&amp;TEXT($B87," #.##0,00"),0)))</f>
        <v>0</v>
      </c>
      <c r="P87" s="111">
        <f>+IF(P$2=$E87,$D87,IF(P$2&gt;P$257,0,IF($C87=P$2,"PAGAR"&amp;" "&amp;TEXT($B87," #.##0,00"),0)))</f>
        <v>0</v>
      </c>
      <c r="Q87" s="111">
        <f>+IF(Q$2=$E87,$D87,IF(Q$2&gt;Q$257,0,IF($C87=Q$2,"PAGAR"&amp;" "&amp;TEXT($B87," #.##0,00"),0)))</f>
        <v>0</v>
      </c>
      <c r="R87" s="111">
        <f>+IF(R$2=$E87,$D87,IF(R$2&gt;R$257,0,IF($C87=R$2,"PAGAR"&amp;" "&amp;TEXT($B87," #.##0,00"),0)))</f>
        <v>0</v>
      </c>
      <c r="S87" s="111">
        <f>+IF(S$2=$E87,$D87,IF(S$2&gt;S$257,0,IF($C87=S$2,"PAGAR"&amp;" "&amp;TEXT($B87," #.##0,00"),0)))</f>
        <v>0</v>
      </c>
      <c r="T87" s="111">
        <f>+IF(T$2=$E87,$D87,IF(T$2&gt;T$257,0,IF($C87=T$2,"PAGAR"&amp;" "&amp;TEXT($B87," #.##0,00"),0)))</f>
        <v>0</v>
      </c>
      <c r="U87" s="111">
        <f>+IF(U$2=$E87,$D87,IF(U$2&gt;U$257,0,IF($C87=U$2,"PAGAR"&amp;" "&amp;TEXT($B87," #.##0,00"),0)))</f>
        <v>0</v>
      </c>
      <c r="V87" s="111">
        <f>+IF(V$2=$E87,$D87,IF(V$2&gt;V$257,0,IF($C87=V$2,"PAGAR"&amp;" "&amp;TEXT($B87," #.##0,00"),0)))</f>
        <v>0</v>
      </c>
      <c r="W87" s="111">
        <f>+IF(W$2=$E87,$D87,IF(W$2&gt;W$257,0,IF($C87=W$2,"PAGAR"&amp;" "&amp;TEXT($B87," #.##0,00"),0)))</f>
        <v>0</v>
      </c>
      <c r="X87" s="111">
        <f>+IF(X$2=$E87,$D87,IF(X$2&gt;X$257,0,IF($C87=X$2,"PAGAR"&amp;" "&amp;TEXT($B87," #.##0,00"),0)))</f>
        <v>0</v>
      </c>
      <c r="Y87" s="111">
        <f>+IF(Y$2=$E87,$D87,IF(Y$2&gt;Y$257,0,IF($C87=Y$2,"PAGAR"&amp;" "&amp;TEXT($B87," #.##0,00"),0)))</f>
        <v>0</v>
      </c>
      <c r="Z87" s="111">
        <f>+IF(Z$2=$E87,$D87,IF(Z$2&gt;Z$257,0,IF($C87=Z$2,"PAGAR"&amp;" "&amp;TEXT($B87," #.##0,00"),0)))</f>
        <v>0</v>
      </c>
      <c r="AA87" s="111">
        <f>+IF(AA$2=$E87,$D87,IF(AA$2&gt;AA$257,0,IF($C87=AA$2,"PAGAR"&amp;" "&amp;TEXT($B87," #.##0,00"),0)))</f>
        <v>0</v>
      </c>
      <c r="AB87" s="111">
        <f>+IF(AB$2=$E87,$D87,IF(AB$2&gt;AB$257,0,IF($C87=AB$2,"PAGAR"&amp;" "&amp;TEXT($B87," #.##0,00"),0)))</f>
        <v>0</v>
      </c>
      <c r="AC87" s="111">
        <f>+IF(AC$2=$E87,$D87,IF(AC$2&gt;AC$257,0,IF($C87=AC$2,"PAGAR"&amp;" "&amp;TEXT($B87," #.##0,00"),0)))</f>
        <v>0</v>
      </c>
      <c r="AD87" s="111">
        <f>+IF(AD$2=$E87,$D87,IF(AD$2&gt;AD$257,0,IF($C87=AD$2,"PAGAR"&amp;" "&amp;TEXT($B87," #.##0,00"),0)))</f>
        <v>0</v>
      </c>
      <c r="AE87" s="111">
        <f>+IF(AE$2=$E87,$D87,IF(AE$2&gt;AE$257,0,IF($C87=AE$2,"PAGAR"&amp;" "&amp;TEXT($B87," #.##0,00"),0)))</f>
        <v>0</v>
      </c>
      <c r="AF87" s="111">
        <f>+IF(AF$2=$E87,$D87,IF(AF$2&gt;AF$257,0,IF($C87=AF$2,"PAGAR"&amp;" "&amp;TEXT($B87," #.##0,00"),0)))</f>
        <v>0</v>
      </c>
      <c r="AG87" s="111">
        <f>+IF(AG$2=$E87,$D87,IF(AG$2&gt;AG$257,0,IF($C87=AG$2,"PAGAR"&amp;" "&amp;TEXT($B87," #.##0,00"),0)))</f>
        <v>0</v>
      </c>
      <c r="AH87" s="111">
        <f>+IF(AH$2=$E87,$D87,IF(AH$2&gt;AH$257,0,IF($C87=AH$2,"PAGAR"&amp;" "&amp;TEXT($B87," #.##0,00"),0)))</f>
        <v>0</v>
      </c>
      <c r="AI87" s="111">
        <f>+IF(AI$2=$E87,$D87,IF(AI$2&gt;AI$257,0,IF($C87=AI$2,"PAGAR"&amp;" "&amp;TEXT($B87," #.##0,00"),0)))</f>
        <v>0</v>
      </c>
      <c r="AJ87" s="111">
        <f>+IF(AJ$2=$E87,$D87,IF(AJ$2&gt;AJ$257,0,IF($C87=AJ$2,"PAGAR"&amp;" "&amp;TEXT($B87," #.##0,00"),0)))</f>
        <v>0</v>
      </c>
      <c r="AK87" s="111">
        <f>+IF(AK$2=$E87,$D87,IF(AK$2&gt;AK$257,0,IF($C87=AK$2,"PAGAR"&amp;" "&amp;TEXT($B87," #.##0,00"),0)))</f>
        <v>0</v>
      </c>
      <c r="AL87" s="111">
        <f>+IF(AL$2=$E87,$D87,IF(AL$2&gt;AL$257,0,IF($C87=AL$2,"PAGAR"&amp;" "&amp;TEXT($B87," #.##0,00"),0)))</f>
        <v>0</v>
      </c>
      <c r="AM87" s="111">
        <f>+IF(AM$2=$E87,$D87,IF(AM$2&gt;AM$257,0,IF($C87=AM$2,"PAGAR"&amp;" "&amp;TEXT($B87," #.##0,00"),0)))</f>
        <v>0</v>
      </c>
      <c r="AN87" s="111">
        <f t="shared" ca="1" si="14"/>
        <v>0</v>
      </c>
      <c r="AO87" s="287">
        <f t="shared" si="15"/>
        <v>0</v>
      </c>
    </row>
    <row r="88" spans="1:56" x14ac:dyDescent="0.25">
      <c r="A88" s="212"/>
      <c r="B88" s="90"/>
      <c r="C88" s="91"/>
      <c r="D88" s="97"/>
      <c r="E88" s="166"/>
      <c r="F88" s="84">
        <f ca="1">+IF(TODAY()&lt;DATEVALUE(1&amp;D$1&amp;E$1),0,IF(C88&gt;0,IF(C88-SUM(I$255:AM$255)&lt;0,B88-SUM(I88:AM88,0),0),0))+IF(C88=-1,B88-SUM(J88:AM88))</f>
        <v>0</v>
      </c>
      <c r="G88" s="1" t="str">
        <f t="shared" si="13"/>
        <v>-</v>
      </c>
      <c r="H88" s="14"/>
      <c r="I88" s="111">
        <f>IF(I$2=$E88,$D88,IF(I$2&gt;I$257,0,IF($C88=I$2,"PAGAR"&amp;" "&amp;TEXT($B88," #.##0,00"),IF($C88=-1,"PAGAR"&amp;" "&amp;TEXT($B88," #.##0,00"),0))))</f>
        <v>0</v>
      </c>
      <c r="J88" s="111">
        <f>+IF(J$2=$E88,$D88,IF(J$2&gt;J$257,0,IF($C88=J$2,"PAGAR"&amp;" "&amp;TEXT($B88," #.##0,00"),0)))</f>
        <v>0</v>
      </c>
      <c r="K88" s="111">
        <f>+IF(K$2=$E88,$D88,IF(K$2&gt;K$257,0,IF($C88=K$2,"PAGAR"&amp;" "&amp;TEXT($B88," #.##0,00"),0)))</f>
        <v>0</v>
      </c>
      <c r="L88" s="111">
        <f>+IF(L$2=$E88,$D88,IF(L$2&gt;L$257,0,IF($C88=L$2,"PAGAR"&amp;" "&amp;TEXT($B88," #.##0,00"),0)))</f>
        <v>0</v>
      </c>
      <c r="M88" s="111">
        <f>+IF(M$2=$E88,$D88,IF(M$2&gt;M$257,0,IF($C88=M$2,"PAGAR"&amp;" "&amp;TEXT($B88," #.##0,00"),0)))</f>
        <v>0</v>
      </c>
      <c r="N88" s="111">
        <f>+IF(N$2=$E88,$D88,IF(N$2&gt;N$257,0,IF($C88=N$2,"PAGAR"&amp;" "&amp;TEXT($B88," #.##0,00"),0)))</f>
        <v>0</v>
      </c>
      <c r="O88" s="111">
        <f>+IF(O$2=$E88,$D88,IF(O$2&gt;O$257,0,IF($C88=O$2,"PAGAR"&amp;" "&amp;TEXT($B88," #.##0,00"),0)))</f>
        <v>0</v>
      </c>
      <c r="P88" s="111">
        <f>+IF(P$2=$E88,$D88,IF(P$2&gt;P$257,0,IF($C88=P$2,"PAGAR"&amp;" "&amp;TEXT($B88," #.##0,00"),0)))</f>
        <v>0</v>
      </c>
      <c r="Q88" s="111">
        <f>+IF(Q$2=$E88,$D88,IF(Q$2&gt;Q$257,0,IF($C88=Q$2,"PAGAR"&amp;" "&amp;TEXT($B88," #.##0,00"),0)))</f>
        <v>0</v>
      </c>
      <c r="R88" s="111">
        <f>+IF(R$2=$E88,$D88,IF(R$2&gt;R$257,0,IF($C88=R$2,"PAGAR"&amp;" "&amp;TEXT($B88," #.##0,00"),0)))</f>
        <v>0</v>
      </c>
      <c r="S88" s="111">
        <f>+IF(S$2=$E88,$D88,IF(S$2&gt;S$257,0,IF($C88=S$2,"PAGAR"&amp;" "&amp;TEXT($B88," #.##0,00"),0)))</f>
        <v>0</v>
      </c>
      <c r="T88" s="111">
        <f>+IF(T$2=$E88,$D88,IF(T$2&gt;T$257,0,IF($C88=T$2,"PAGAR"&amp;" "&amp;TEXT($B88," #.##0,00"),0)))</f>
        <v>0</v>
      </c>
      <c r="U88" s="111">
        <f>+IF(U$2=$E88,$D88,IF(U$2&gt;U$257,0,IF($C88=U$2,"PAGAR"&amp;" "&amp;TEXT($B88," #.##0,00"),0)))</f>
        <v>0</v>
      </c>
      <c r="V88" s="111">
        <f>+IF(V$2=$E88,$D88,IF(V$2&gt;V$257,0,IF($C88=V$2,"PAGAR"&amp;" "&amp;TEXT($B88," #.##0,00"),0)))</f>
        <v>0</v>
      </c>
      <c r="W88" s="111">
        <f>+IF(W$2=$E88,$D88,IF(W$2&gt;W$257,0,IF($C88=W$2,"PAGAR"&amp;" "&amp;TEXT($B88," #.##0,00"),0)))</f>
        <v>0</v>
      </c>
      <c r="X88" s="111">
        <f>+IF(X$2=$E88,$D88,IF(X$2&gt;X$257,0,IF($C88=X$2,"PAGAR"&amp;" "&amp;TEXT($B88," #.##0,00"),0)))</f>
        <v>0</v>
      </c>
      <c r="Y88" s="111">
        <f>+IF(Y$2=$E88,$D88,IF(Y$2&gt;Y$257,0,IF($C88=Y$2,"PAGAR"&amp;" "&amp;TEXT($B88," #.##0,00"),0)))</f>
        <v>0</v>
      </c>
      <c r="Z88" s="111">
        <f>+IF(Z$2=$E88,$D88,IF(Z$2&gt;Z$257,0,IF($C88=Z$2,"PAGAR"&amp;" "&amp;TEXT($B88," #.##0,00"),0)))</f>
        <v>0</v>
      </c>
      <c r="AA88" s="111">
        <f>+IF(AA$2=$E88,$D88,IF(AA$2&gt;AA$257,0,IF($C88=AA$2,"PAGAR"&amp;" "&amp;TEXT($B88," #.##0,00"),0)))</f>
        <v>0</v>
      </c>
      <c r="AB88" s="111">
        <f>+IF(AB$2=$E88,$D88,IF(AB$2&gt;AB$257,0,IF($C88=AB$2,"PAGAR"&amp;" "&amp;TEXT($B88," #.##0,00"),0)))</f>
        <v>0</v>
      </c>
      <c r="AC88" s="111">
        <f>+IF(AC$2=$E88,$D88,IF(AC$2&gt;AC$257,0,IF($C88=AC$2,"PAGAR"&amp;" "&amp;TEXT($B88," #.##0,00"),0)))</f>
        <v>0</v>
      </c>
      <c r="AD88" s="111">
        <f>+IF(AD$2=$E88,$D88,IF(AD$2&gt;AD$257,0,IF($C88=AD$2,"PAGAR"&amp;" "&amp;TEXT($B88," #.##0,00"),0)))</f>
        <v>0</v>
      </c>
      <c r="AE88" s="111">
        <f>+IF(AE$2=$E88,$D88,IF(AE$2&gt;AE$257,0,IF($C88=AE$2,"PAGAR"&amp;" "&amp;TEXT($B88," #.##0,00"),0)))</f>
        <v>0</v>
      </c>
      <c r="AF88" s="111">
        <f>+IF(AF$2=$E88,$D88,IF(AF$2&gt;AF$257,0,IF($C88=AF$2,"PAGAR"&amp;" "&amp;TEXT($B88," #.##0,00"),0)))</f>
        <v>0</v>
      </c>
      <c r="AG88" s="111">
        <f>+IF(AG$2=$E88,$D88,IF(AG$2&gt;AG$257,0,IF($C88=AG$2,"PAGAR"&amp;" "&amp;TEXT($B88," #.##0,00"),0)))</f>
        <v>0</v>
      </c>
      <c r="AH88" s="111">
        <f>+IF(AH$2=$E88,$D88,IF(AH$2&gt;AH$257,0,IF($C88=AH$2,"PAGAR"&amp;" "&amp;TEXT($B88," #.##0,00"),0)))</f>
        <v>0</v>
      </c>
      <c r="AI88" s="111">
        <f>+IF(AI$2=$E88,$D88,IF(AI$2&gt;AI$257,0,IF($C88=AI$2,"PAGAR"&amp;" "&amp;TEXT($B88," #.##0,00"),0)))</f>
        <v>0</v>
      </c>
      <c r="AJ88" s="111">
        <f>+IF(AJ$2=$E88,$D88,IF(AJ$2&gt;AJ$257,0,IF($C88=AJ$2,"PAGAR"&amp;" "&amp;TEXT($B88," #.##0,00"),0)))</f>
        <v>0</v>
      </c>
      <c r="AK88" s="111">
        <f>+IF(AK$2=$E88,$D88,IF(AK$2&gt;AK$257,0,IF($C88=AK$2,"PAGAR"&amp;" "&amp;TEXT($B88," #.##0,00"),0)))</f>
        <v>0</v>
      </c>
      <c r="AL88" s="111">
        <f>+IF(AL$2=$E88,$D88,IF(AL$2&gt;AL$257,0,IF($C88=AL$2,"PAGAR"&amp;" "&amp;TEXT($B88," #.##0,00"),0)))</f>
        <v>0</v>
      </c>
      <c r="AM88" s="111">
        <f>+IF(AM$2=$E88,$D88,IF(AM$2&gt;AM$257,0,IF($C88=AM$2,"PAGAR"&amp;" "&amp;TEXT($B88," #.##0,00"),0)))</f>
        <v>0</v>
      </c>
      <c r="AN88" s="111">
        <f t="shared" ca="1" si="14"/>
        <v>0</v>
      </c>
      <c r="AO88" s="287">
        <f t="shared" si="15"/>
        <v>0</v>
      </c>
    </row>
    <row r="89" spans="1:56" ht="15.75" x14ac:dyDescent="0.25">
      <c r="A89" s="112" t="s">
        <v>76</v>
      </c>
      <c r="B89" s="6">
        <f>+SUM(B69:B88)</f>
        <v>18460.939999999999</v>
      </c>
      <c r="C89" s="81"/>
      <c r="D89" s="6">
        <f>+SUM(D69:D88)</f>
        <v>0</v>
      </c>
      <c r="E89" s="81"/>
      <c r="F89" s="195">
        <f ca="1">+SUMIF(F69:F88,"&gt;0")</f>
        <v>4920.8200000000006</v>
      </c>
      <c r="G89" s="3">
        <f t="shared" si="13"/>
        <v>0</v>
      </c>
      <c r="H89" s="5"/>
      <c r="I89" s="2">
        <f>+PLAN2!H90</f>
        <v>2503.91</v>
      </c>
      <c r="J89" s="2">
        <f>+PLAN2!I90</f>
        <v>0</v>
      </c>
      <c r="K89" s="2">
        <f>+PLAN2!J90</f>
        <v>0</v>
      </c>
      <c r="L89" s="2">
        <f>+PLAN2!K90</f>
        <v>0</v>
      </c>
      <c r="M89" s="2">
        <f>+PLAN2!L90</f>
        <v>288.06</v>
      </c>
      <c r="N89" s="2">
        <f>+PLAN2!M90</f>
        <v>464.59000000000003</v>
      </c>
      <c r="O89" s="2">
        <f>+PLAN2!N90</f>
        <v>0</v>
      </c>
      <c r="P89" s="2">
        <f>+PLAN2!O90</f>
        <v>0</v>
      </c>
      <c r="Q89" s="2">
        <f>+PLAN2!P90</f>
        <v>0</v>
      </c>
      <c r="R89" s="2">
        <f>+PLAN2!Q90</f>
        <v>1504.62</v>
      </c>
      <c r="S89" s="2">
        <f>+PLAN2!R90</f>
        <v>0</v>
      </c>
      <c r="T89" s="2">
        <f>+PLAN2!S90</f>
        <v>159.63999999999999</v>
      </c>
      <c r="U89" s="2">
        <f>+PLAN2!T90</f>
        <v>0</v>
      </c>
      <c r="V89" s="2">
        <f>+PLAN2!U90</f>
        <v>0</v>
      </c>
      <c r="W89" s="2">
        <f>+PLAN2!V90</f>
        <v>220</v>
      </c>
      <c r="X89" s="2">
        <f>+PLAN2!W90</f>
        <v>0</v>
      </c>
      <c r="Y89" s="2">
        <f>+PLAN2!X90</f>
        <v>0</v>
      </c>
      <c r="Z89" s="2">
        <f>+PLAN2!Y90</f>
        <v>0</v>
      </c>
      <c r="AA89" s="2">
        <f>+PLAN2!Z90</f>
        <v>0</v>
      </c>
      <c r="AB89" s="2">
        <f>+PLAN2!AA90</f>
        <v>0</v>
      </c>
      <c r="AC89" s="2">
        <f>+PLAN2!AB90</f>
        <v>0</v>
      </c>
      <c r="AD89" s="2">
        <f>+PLAN2!AC90</f>
        <v>0</v>
      </c>
      <c r="AE89" s="2">
        <f>+PLAN2!AD90</f>
        <v>0</v>
      </c>
      <c r="AF89" s="2">
        <f>+PLAN2!AE90</f>
        <v>0</v>
      </c>
      <c r="AG89" s="2">
        <f>+PLAN2!AF90</f>
        <v>0</v>
      </c>
      <c r="AH89" s="2">
        <f>+PLAN2!AG90</f>
        <v>236.13</v>
      </c>
      <c r="AI89" s="2">
        <f>+PLAN2!AH90</f>
        <v>524.07000000000005</v>
      </c>
      <c r="AJ89" s="2">
        <f>+PLAN2!AI90</f>
        <v>0</v>
      </c>
      <c r="AK89" s="2">
        <f>+PLAN2!AJ90</f>
        <v>0</v>
      </c>
      <c r="AL89" s="2">
        <f>+PLAN2!AK90</f>
        <v>0</v>
      </c>
      <c r="AM89" s="2">
        <f>+PLAN2!AL90</f>
        <v>0</v>
      </c>
      <c r="AN89" s="2">
        <f ca="1">SUM(AN69:AN88)</f>
        <v>0</v>
      </c>
      <c r="AO89" s="288"/>
    </row>
    <row r="90" spans="1:56" x14ac:dyDescent="0.25">
      <c r="A90" s="211" t="s">
        <v>51</v>
      </c>
      <c r="B90" s="109"/>
      <c r="C90" s="109"/>
      <c r="D90" s="109"/>
      <c r="E90" s="109"/>
      <c r="F90" s="109"/>
      <c r="G90" s="109"/>
      <c r="H90" s="11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09"/>
      <c r="AK90" s="109"/>
      <c r="AL90" s="109"/>
      <c r="AM90" s="110"/>
      <c r="AN90" s="13"/>
      <c r="AO90" s="285"/>
    </row>
    <row r="91" spans="1:56" x14ac:dyDescent="0.25">
      <c r="A91" s="212"/>
      <c r="B91" s="90"/>
      <c r="C91" s="91"/>
      <c r="D91" s="97"/>
      <c r="E91" s="166"/>
      <c r="F91" s="84">
        <f ca="1">+IF(TODAY()&lt;DATEVALUE(1&amp;D$1&amp;E$1),0,IF(C91&gt;0,IF(C91-SUM(I$255:AM$255)&lt;0,B91-SUM(I91:AM91,0),0),0))+IF(C91=-1,B91-SUM(J91:AM91))</f>
        <v>0</v>
      </c>
      <c r="G91" s="1" t="str">
        <f t="shared" ref="G91:G98" si="16">+IF(B91=0,"-",D91/B91)</f>
        <v>-</v>
      </c>
      <c r="H91" s="14"/>
      <c r="I91" s="111">
        <f>IF(I$2=$E91,$D91,IF(I$2&gt;I$257,0,IF($C91=I$2,"PAGAR"&amp;" "&amp;TEXT($B91," #.##0,00"),IF($C91=-1,"PAGAR"&amp;" "&amp;TEXT($B91," #.##0,00"),0))))</f>
        <v>0</v>
      </c>
      <c r="J91" s="111">
        <f>+IF(J$2=$E91,$D91,IF(J$2&gt;J$257,0,IF($C91=J$2,"PAGAR"&amp;" "&amp;TEXT($B91," #.##0,00"),0)))</f>
        <v>0</v>
      </c>
      <c r="K91" s="111">
        <f>+IF(K$2=$E91,$D91,IF(K$2&gt;K$257,0,IF($C91=K$2,"PAGAR"&amp;" "&amp;TEXT($B91," #.##0,00"),0)))</f>
        <v>0</v>
      </c>
      <c r="L91" s="111">
        <f>+IF(L$2=$E91,$D91,IF(L$2&gt;L$257,0,IF($C91=L$2,"PAGAR"&amp;" "&amp;TEXT($B91," #.##0,00"),0)))</f>
        <v>0</v>
      </c>
      <c r="M91" s="111">
        <f>+IF(M$2=$E91,$D91,IF(M$2&gt;M$257,0,IF($C91=M$2,"PAGAR"&amp;" "&amp;TEXT($B91," #.##0,00"),0)))</f>
        <v>0</v>
      </c>
      <c r="N91" s="111">
        <f>+IF(N$2=$E91,$D91,IF(N$2&gt;N$257,0,IF($C91=N$2,"PAGAR"&amp;" "&amp;TEXT($B91," #.##0,00"),0)))</f>
        <v>0</v>
      </c>
      <c r="O91" s="111">
        <f>+IF(O$2=$E91,$D91,IF(O$2&gt;O$257,0,IF($C91=O$2,"PAGAR"&amp;" "&amp;TEXT($B91," #.##0,00"),0)))</f>
        <v>0</v>
      </c>
      <c r="P91" s="111">
        <f>+IF(P$2=$E91,$D91,IF(P$2&gt;P$257,0,IF($C91=P$2,"PAGAR"&amp;" "&amp;TEXT($B91," #.##0,00"),0)))</f>
        <v>0</v>
      </c>
      <c r="Q91" s="111">
        <f>+IF(Q$2=$E91,$D91,IF(Q$2&gt;Q$257,0,IF($C91=Q$2,"PAGAR"&amp;" "&amp;TEXT($B91," #.##0,00"),0)))</f>
        <v>0</v>
      </c>
      <c r="R91" s="111">
        <f>+IF(R$2=$E91,$D91,IF(R$2&gt;R$257,0,IF($C91=R$2,"PAGAR"&amp;" "&amp;TEXT($B91," #.##0,00"),0)))</f>
        <v>0</v>
      </c>
      <c r="S91" s="111">
        <f>+IF(S$2=$E91,$D91,IF(S$2&gt;S$257,0,IF($C91=S$2,"PAGAR"&amp;" "&amp;TEXT($B91," #.##0,00"),0)))</f>
        <v>0</v>
      </c>
      <c r="T91" s="111">
        <f>+IF(T$2=$E91,$D91,IF(T$2&gt;T$257,0,IF($C91=T$2,"PAGAR"&amp;" "&amp;TEXT($B91," #.##0,00"),0)))</f>
        <v>0</v>
      </c>
      <c r="U91" s="111">
        <f>+IF(U$2=$E91,$D91,IF(U$2&gt;U$257,0,IF($C91=U$2,"PAGAR"&amp;" "&amp;TEXT($B91," #.##0,00"),0)))</f>
        <v>0</v>
      </c>
      <c r="V91" s="111">
        <f>+IF(V$2=$E91,$D91,IF(V$2&gt;V$257,0,IF($C91=V$2,"PAGAR"&amp;" "&amp;TEXT($B91," #.##0,00"),0)))</f>
        <v>0</v>
      </c>
      <c r="W91" s="111">
        <f>+IF(W$2=$E91,$D91,IF(W$2&gt;W$257,0,IF($C91=W$2,"PAGAR"&amp;" "&amp;TEXT($B91," #.##0,00"),0)))</f>
        <v>0</v>
      </c>
      <c r="X91" s="111">
        <f>+IF(X$2=$E91,$D91,IF(X$2&gt;X$257,0,IF($C91=X$2,"PAGAR"&amp;" "&amp;TEXT($B91," #.##0,00"),0)))</f>
        <v>0</v>
      </c>
      <c r="Y91" s="111">
        <f>+IF(Y$2=$E91,$D91,IF(Y$2&gt;Y$257,0,IF($C91=Y$2,"PAGAR"&amp;" "&amp;TEXT($B91," #.##0,00"),0)))</f>
        <v>0</v>
      </c>
      <c r="Z91" s="111">
        <f>+IF(Z$2=$E91,$D91,IF(Z$2&gt;Z$257,0,IF($C91=Z$2,"PAGAR"&amp;" "&amp;TEXT($B91," #.##0,00"),0)))</f>
        <v>0</v>
      </c>
      <c r="AA91" s="111">
        <f>+IF(AA$2=$E91,$D91,IF(AA$2&gt;AA$257,0,IF($C91=AA$2,"PAGAR"&amp;" "&amp;TEXT($B91," #.##0,00"),0)))</f>
        <v>0</v>
      </c>
      <c r="AB91" s="111">
        <f>+IF(AB$2=$E91,$D91,IF(AB$2&gt;AB$257,0,IF($C91=AB$2,"PAGAR"&amp;" "&amp;TEXT($B91," #.##0,00"),0)))</f>
        <v>0</v>
      </c>
      <c r="AC91" s="111">
        <f>+IF(AC$2=$E91,$D91,IF(AC$2&gt;AC$257,0,IF($C91=AC$2,"PAGAR"&amp;" "&amp;TEXT($B91," #.##0,00"),0)))</f>
        <v>0</v>
      </c>
      <c r="AD91" s="111">
        <f>+IF(AD$2=$E91,$D91,IF(AD$2&gt;AD$257,0,IF($C91=AD$2,"PAGAR"&amp;" "&amp;TEXT($B91," #.##0,00"),0)))</f>
        <v>0</v>
      </c>
      <c r="AE91" s="111">
        <f>+IF(AE$2=$E91,$D91,IF(AE$2&gt;AE$257,0,IF($C91=AE$2,"PAGAR"&amp;" "&amp;TEXT($B91," #.##0,00"),0)))</f>
        <v>0</v>
      </c>
      <c r="AF91" s="111">
        <f>+IF(AF$2=$E91,$D91,IF(AF$2&gt;AF$257,0,IF($C91=AF$2,"PAGAR"&amp;" "&amp;TEXT($B91," #.##0,00"),0)))</f>
        <v>0</v>
      </c>
      <c r="AG91" s="111">
        <f>+IF(AG$2=$E91,$D91,IF(AG$2&gt;AG$257,0,IF($C91=AG$2,"PAGAR"&amp;" "&amp;TEXT($B91," #.##0,00"),0)))</f>
        <v>0</v>
      </c>
      <c r="AH91" s="111">
        <f>+IF(AH$2=$E91,$D91,IF(AH$2&gt;AH$257,0,IF($C91=AH$2,"PAGAR"&amp;" "&amp;TEXT($B91," #.##0,00"),0)))</f>
        <v>0</v>
      </c>
      <c r="AI91" s="111">
        <f>+IF(AI$2=$E91,$D91,IF(AI$2&gt;AI$257,0,IF($C91=AI$2,"PAGAR"&amp;" "&amp;TEXT($B91," #.##0,00"),0)))</f>
        <v>0</v>
      </c>
      <c r="AJ91" s="111">
        <f>+IF(AJ$2=$E91,$D91,IF(AJ$2&gt;AJ$257,0,IF($C91=AJ$2,"PAGAR"&amp;" "&amp;TEXT($B91," #.##0,00"),0)))</f>
        <v>0</v>
      </c>
      <c r="AK91" s="111">
        <f>+IF(AK$2=$E91,$D91,IF(AK$2&gt;AK$257,0,IF($C91=AK$2,"PAGAR"&amp;" "&amp;TEXT($B91," #.##0,00"),0)))</f>
        <v>0</v>
      </c>
      <c r="AL91" s="111">
        <f>+IF(AL$2=$E91,$D91,IF(AL$2&gt;AL$257,0,IF($C91=AL$2,"PAGAR"&amp;" "&amp;TEXT($B91," #.##0,00"),0)))</f>
        <v>0</v>
      </c>
      <c r="AM91" s="111">
        <f>+IF(AM$2=$E91,$D91,IF(AM$2&gt;AM$257,0,IF($C91=AM$2,"PAGAR"&amp;" "&amp;TEXT($B91," #.##0,00"),0)))</f>
        <v>0</v>
      </c>
      <c r="AN91" s="111">
        <f t="shared" ref="AN91:AN97" ca="1" si="17">+IF(F91&lt;0,-F91,0)</f>
        <v>0</v>
      </c>
      <c r="AO91" s="287">
        <f t="shared" ref="AO91:AO97" si="18">+IF(AND(C91=0,B91&gt;0),B91,0)</f>
        <v>0</v>
      </c>
    </row>
    <row r="92" spans="1:56" x14ac:dyDescent="0.25">
      <c r="A92" s="212" t="s">
        <v>164</v>
      </c>
      <c r="B92" s="90">
        <v>5188</v>
      </c>
      <c r="C92" s="91">
        <v>5</v>
      </c>
      <c r="D92" s="97"/>
      <c r="E92" s="166"/>
      <c r="F92" s="84">
        <f ca="1">+IF(TODAY()&lt;DATEVALUE(1&amp;D$1&amp;E$1),0,IF(C92&gt;0,IF(C92-SUM(I$255:AM$255)&lt;0,B92-SUM(I92:AM92,0),0),0))+IF(C92=-1,B92-SUM(J92:AM92))</f>
        <v>5188</v>
      </c>
      <c r="G92" s="1">
        <f t="shared" si="16"/>
        <v>0</v>
      </c>
      <c r="H92" s="14"/>
      <c r="I92" s="111">
        <f>IF(I$2=$E92,$D92,IF(I$2&gt;I$257,0,IF($C92=I$2,"PAGAR"&amp;" "&amp;TEXT($B92," #.##0,00"),IF($C92=-1,"PAGAR"&amp;" "&amp;TEXT($B92," #.##0,00"),0))))</f>
        <v>0</v>
      </c>
      <c r="J92" s="111">
        <f>+IF(J$2=$E92,$D92,IF(J$2&gt;J$257,0,IF($C92=J$2,"PAGAR"&amp;" "&amp;TEXT($B92," #.##0,00"),0)))</f>
        <v>0</v>
      </c>
      <c r="K92" s="111">
        <f>+IF(K$2=$E92,$D92,IF(K$2&gt;K$257,0,IF($C92=K$2,"PAGAR"&amp;" "&amp;TEXT($B92," #.##0,00"),0)))</f>
        <v>0</v>
      </c>
      <c r="L92" s="111">
        <f>+IF(L$2=$E92,$D92,IF(L$2&gt;L$257,0,IF($C92=L$2,"PAGAR"&amp;" "&amp;TEXT($B92," #.##0,00"),0)))</f>
        <v>0</v>
      </c>
      <c r="M92" s="111" t="str">
        <f>+IF(M$2=$E92,$D92,IF(M$2&gt;M$257,0,IF($C92=M$2,"PAGAR"&amp;" "&amp;TEXT($B92," #.##0,00"),0)))</f>
        <v>PAGAR  5.188,00</v>
      </c>
      <c r="N92" s="111">
        <f>+IF(N$2=$E92,$D92,IF(N$2&gt;N$257,0,IF($C92=N$2,"PAGAR"&amp;" "&amp;TEXT($B92," #.##0,00"),0)))</f>
        <v>0</v>
      </c>
      <c r="O92" s="111">
        <f>+IF(O$2=$E92,$D92,IF(O$2&gt;O$257,0,IF($C92=O$2,"PAGAR"&amp;" "&amp;TEXT($B92," #.##0,00"),0)))</f>
        <v>0</v>
      </c>
      <c r="P92" s="111">
        <f>+IF(P$2=$E92,$D92,IF(P$2&gt;P$257,0,IF($C92=P$2,"PAGAR"&amp;" "&amp;TEXT($B92," #.##0,00"),0)))</f>
        <v>0</v>
      </c>
      <c r="Q92" s="111">
        <f>+IF(Q$2=$E92,$D92,IF(Q$2&gt;Q$257,0,IF($C92=Q$2,"PAGAR"&amp;" "&amp;TEXT($B92," #.##0,00"),0)))</f>
        <v>0</v>
      </c>
      <c r="R92" s="111">
        <f>+IF(R$2=$E92,$D92,IF(R$2&gt;R$257,0,IF($C92=R$2,"PAGAR"&amp;" "&amp;TEXT($B92," #.##0,00"),0)))</f>
        <v>0</v>
      </c>
      <c r="S92" s="111">
        <f>+IF(S$2=$E92,$D92,IF(S$2&gt;S$257,0,IF($C92=S$2,"PAGAR"&amp;" "&amp;TEXT($B92," #.##0,00"),0)))</f>
        <v>0</v>
      </c>
      <c r="T92" s="111">
        <f>+IF(T$2=$E92,$D92,IF(T$2&gt;T$257,0,IF($C92=T$2,"PAGAR"&amp;" "&amp;TEXT($B92," #.##0,00"),0)))</f>
        <v>0</v>
      </c>
      <c r="U92" s="111">
        <f>+IF(U$2=$E92,$D92,IF(U$2&gt;U$257,0,IF($C92=U$2,"PAGAR"&amp;" "&amp;TEXT($B92," #.##0,00"),0)))</f>
        <v>0</v>
      </c>
      <c r="V92" s="111">
        <f>+IF(V$2=$E92,$D92,IF(V$2&gt;V$257,0,IF($C92=V$2,"PAGAR"&amp;" "&amp;TEXT($B92," #.##0,00"),0)))</f>
        <v>0</v>
      </c>
      <c r="W92" s="111">
        <f>+IF(W$2=$E92,$D92,IF(W$2&gt;W$257,0,IF($C92=W$2,"PAGAR"&amp;" "&amp;TEXT($B92," #.##0,00"),0)))</f>
        <v>0</v>
      </c>
      <c r="X92" s="111">
        <f>+IF(X$2=$E92,$D92,IF(X$2&gt;X$257,0,IF($C92=X$2,"PAGAR"&amp;" "&amp;TEXT($B92," #.##0,00"),0)))</f>
        <v>0</v>
      </c>
      <c r="Y92" s="111">
        <f>+IF(Y$2=$E92,$D92,IF(Y$2&gt;Y$257,0,IF($C92=Y$2,"PAGAR"&amp;" "&amp;TEXT($B92," #.##0,00"),0)))</f>
        <v>0</v>
      </c>
      <c r="Z92" s="111">
        <f>+IF(Z$2=$E92,$D92,IF(Z$2&gt;Z$257,0,IF($C92=Z$2,"PAGAR"&amp;" "&amp;TEXT($B92," #.##0,00"),0)))</f>
        <v>0</v>
      </c>
      <c r="AA92" s="111">
        <f>+IF(AA$2=$E92,$D92,IF(AA$2&gt;AA$257,0,IF($C92=AA$2,"PAGAR"&amp;" "&amp;TEXT($B92," #.##0,00"),0)))</f>
        <v>0</v>
      </c>
      <c r="AB92" s="111">
        <f>+IF(AB$2=$E92,$D92,IF(AB$2&gt;AB$257,0,IF($C92=AB$2,"PAGAR"&amp;" "&amp;TEXT($B92," #.##0,00"),0)))</f>
        <v>0</v>
      </c>
      <c r="AC92" s="111">
        <f>+IF(AC$2=$E92,$D92,IF(AC$2&gt;AC$257,0,IF($C92=AC$2,"PAGAR"&amp;" "&amp;TEXT($B92," #.##0,00"),0)))</f>
        <v>0</v>
      </c>
      <c r="AD92" s="111">
        <f>+IF(AD$2=$E92,$D92,IF(AD$2&gt;AD$257,0,IF($C92=AD$2,"PAGAR"&amp;" "&amp;TEXT($B92," #.##0,00"),0)))</f>
        <v>0</v>
      </c>
      <c r="AE92" s="111">
        <f>+IF(AE$2=$E92,$D92,IF(AE$2&gt;AE$257,0,IF($C92=AE$2,"PAGAR"&amp;" "&amp;TEXT($B92," #.##0,00"),0)))</f>
        <v>0</v>
      </c>
      <c r="AF92" s="111">
        <f>+IF(AF$2=$E92,$D92,IF(AF$2&gt;AF$257,0,IF($C92=AF$2,"PAGAR"&amp;" "&amp;TEXT($B92," #.##0,00"),0)))</f>
        <v>0</v>
      </c>
      <c r="AG92" s="111">
        <f>+IF(AG$2=$E92,$D92,IF(AG$2&gt;AG$257,0,IF($C92=AG$2,"PAGAR"&amp;" "&amp;TEXT($B92," #.##0,00"),0)))</f>
        <v>0</v>
      </c>
      <c r="AH92" s="111">
        <f>+IF(AH$2=$E92,$D92,IF(AH$2&gt;AH$257,0,IF($C92=AH$2,"PAGAR"&amp;" "&amp;TEXT($B92," #.##0,00"),0)))</f>
        <v>0</v>
      </c>
      <c r="AI92" s="111">
        <f>+IF(AI$2=$E92,$D92,IF(AI$2&gt;AI$257,0,IF($C92=AI$2,"PAGAR"&amp;" "&amp;TEXT($B92," #.##0,00"),0)))</f>
        <v>0</v>
      </c>
      <c r="AJ92" s="111">
        <f>+IF(AJ$2=$E92,$D92,IF(AJ$2&gt;AJ$257,0,IF($C92=AJ$2,"PAGAR"&amp;" "&amp;TEXT($B92," #.##0,00"),0)))</f>
        <v>0</v>
      </c>
      <c r="AK92" s="111">
        <f>+IF(AK$2=$E92,$D92,IF(AK$2&gt;AK$257,0,IF($C92=AK$2,"PAGAR"&amp;" "&amp;TEXT($B92," #.##0,00"),0)))</f>
        <v>0</v>
      </c>
      <c r="AL92" s="111">
        <f>+IF(AL$2=$E92,$D92,IF(AL$2&gt;AL$257,0,IF($C92=AL$2,"PAGAR"&amp;" "&amp;TEXT($B92," #.##0,00"),0)))</f>
        <v>0</v>
      </c>
      <c r="AM92" s="111">
        <f>+IF(AM$2=$E92,$D92,IF(AM$2&gt;AM$257,0,IF($C92=AM$2,"PAGAR"&amp;" "&amp;TEXT($B92," #.##0,00"),0)))</f>
        <v>0</v>
      </c>
      <c r="AN92" s="111">
        <f t="shared" ca="1" si="17"/>
        <v>0</v>
      </c>
      <c r="AO92" s="287">
        <f t="shared" si="18"/>
        <v>0</v>
      </c>
    </row>
    <row r="93" spans="1:56" x14ac:dyDescent="0.25">
      <c r="A93" s="221" t="s">
        <v>162</v>
      </c>
      <c r="B93" s="90">
        <v>1709</v>
      </c>
      <c r="C93" s="222">
        <v>0</v>
      </c>
      <c r="D93" s="97"/>
      <c r="E93" s="166"/>
      <c r="F93" s="84">
        <f ca="1">+IF(TODAY()&lt;DATEVALUE(1&amp;D$1&amp;E$1),0,IF(C93&gt;0,IF(C93-SUM(I$255:AM$255)&lt;0,B93-SUM(I93:AM93,0),0),0))+IF(C93=-1,B93-SUM(J93:AM93))</f>
        <v>0</v>
      </c>
      <c r="G93" s="1">
        <f t="shared" si="16"/>
        <v>0</v>
      </c>
      <c r="H93" s="14"/>
      <c r="I93" s="111">
        <f>IF(I$2=$E93,$D93,IF(I$2&gt;I$257,0,IF($C93=I$2,"PAGAR"&amp;" "&amp;TEXT($B93," #.##0,00"),IF($C93=-1,"PAGAR"&amp;" "&amp;TEXT($B93," #.##0,00"),0))))</f>
        <v>0</v>
      </c>
      <c r="J93" s="111">
        <f>+IF(J$2=$E93,$D93,IF(J$2&gt;J$257,0,IF($C93=J$2,"PAGAR"&amp;" "&amp;TEXT($B93," #.##0,00"),0)))</f>
        <v>0</v>
      </c>
      <c r="K93" s="111">
        <f>+IF(K$2=$E93,$D93,IF(K$2&gt;K$257,0,IF($C93=K$2,"PAGAR"&amp;" "&amp;TEXT($B93," #.##0,00"),0)))</f>
        <v>0</v>
      </c>
      <c r="L93" s="111">
        <f>+IF(L$2=$E93,$D93,IF(L$2&gt;L$257,0,IF($C93=L$2,"PAGAR"&amp;" "&amp;TEXT($B93," #.##0,00"),0)))</f>
        <v>0</v>
      </c>
      <c r="M93" s="111">
        <f>+IF(M$2=$E93,$D93,IF(M$2&gt;M$257,0,IF($C93=M$2,"PAGAR"&amp;" "&amp;TEXT($B93," #.##0,00"),0)))</f>
        <v>0</v>
      </c>
      <c r="N93" s="111">
        <f>+IF(N$2=$E93,$D93,IF(N$2&gt;N$257,0,IF($C93=N$2,"PAGAR"&amp;" "&amp;TEXT($B93," #.##0,00"),0)))</f>
        <v>0</v>
      </c>
      <c r="O93" s="111">
        <f>+IF(O$2=$E93,$D93,IF(O$2&gt;O$257,0,IF($C93=O$2,"PAGAR"&amp;" "&amp;TEXT($B93," #.##0,00"),0)))</f>
        <v>0</v>
      </c>
      <c r="P93" s="111">
        <f>+IF(P$2=$E93,$D93,IF(P$2&gt;P$257,0,IF($C93=P$2,"PAGAR"&amp;" "&amp;TEXT($B93," #.##0,00"),0)))</f>
        <v>0</v>
      </c>
      <c r="Q93" s="111">
        <f>+IF(Q$2=$E93,$D93,IF(Q$2&gt;Q$257,0,IF($C93=Q$2,"PAGAR"&amp;" "&amp;TEXT($B93," #.##0,00"),0)))</f>
        <v>0</v>
      </c>
      <c r="R93" s="111">
        <f>+IF(R$2=$E93,$D93,IF(R$2&gt;R$257,0,IF($C93=R$2,"PAGAR"&amp;" "&amp;TEXT($B93," #.##0,00"),0)))</f>
        <v>0</v>
      </c>
      <c r="S93" s="111">
        <f>+IF(S$2=$E93,$D93,IF(S$2&gt;S$257,0,IF($C93=S$2,"PAGAR"&amp;" "&amp;TEXT($B93," #.##0,00"),0)))</f>
        <v>0</v>
      </c>
      <c r="T93" s="111">
        <f>+IF(T$2=$E93,$D93,IF(T$2&gt;T$257,0,IF($C93=T$2,"PAGAR"&amp;" "&amp;TEXT($B93," #.##0,00"),0)))</f>
        <v>0</v>
      </c>
      <c r="U93" s="111">
        <f>+IF(U$2=$E93,$D93,IF(U$2&gt;U$257,0,IF($C93=U$2,"PAGAR"&amp;" "&amp;TEXT($B93," #.##0,00"),0)))</f>
        <v>0</v>
      </c>
      <c r="V93" s="111">
        <f>+IF(V$2=$E93,$D93,IF(V$2&gt;V$257,0,IF($C93=V$2,"PAGAR"&amp;" "&amp;TEXT($B93," #.##0,00"),0)))</f>
        <v>0</v>
      </c>
      <c r="W93" s="111">
        <f>+IF(W$2=$E93,$D93,IF(W$2&gt;W$257,0,IF($C93=W$2,"PAGAR"&amp;" "&amp;TEXT($B93," #.##0,00"),0)))</f>
        <v>0</v>
      </c>
      <c r="X93" s="111">
        <f>+IF(X$2=$E93,$D93,IF(X$2&gt;X$257,0,IF($C93=X$2,"PAGAR"&amp;" "&amp;TEXT($B93," #.##0,00"),0)))</f>
        <v>0</v>
      </c>
      <c r="Y93" s="111">
        <f>+IF(Y$2=$E93,$D93,IF(Y$2&gt;Y$257,0,IF($C93=Y$2,"PAGAR"&amp;" "&amp;TEXT($B93," #.##0,00"),0)))</f>
        <v>0</v>
      </c>
      <c r="Z93" s="111">
        <f>+IF(Z$2=$E93,$D93,IF(Z$2&gt;Z$257,0,IF($C93=Z$2,"PAGAR"&amp;" "&amp;TEXT($B93," #.##0,00"),0)))</f>
        <v>0</v>
      </c>
      <c r="AA93" s="111">
        <f>+IF(AA$2=$E93,$D93,IF(AA$2&gt;AA$257,0,IF($C93=AA$2,"PAGAR"&amp;" "&amp;TEXT($B93," #.##0,00"),0)))</f>
        <v>0</v>
      </c>
      <c r="AB93" s="111">
        <f>+IF(AB$2=$E93,$D93,IF(AB$2&gt;AB$257,0,IF($C93=AB$2,"PAGAR"&amp;" "&amp;TEXT($B93," #.##0,00"),0)))</f>
        <v>0</v>
      </c>
      <c r="AC93" s="111">
        <f>+IF(AC$2=$E93,$D93,IF(AC$2&gt;AC$257,0,IF($C93=AC$2,"PAGAR"&amp;" "&amp;TEXT($B93," #.##0,00"),0)))</f>
        <v>0</v>
      </c>
      <c r="AD93" s="111">
        <f>+IF(AD$2=$E93,$D93,IF(AD$2&gt;AD$257,0,IF($C93=AD$2,"PAGAR"&amp;" "&amp;TEXT($B93," #.##0,00"),0)))</f>
        <v>0</v>
      </c>
      <c r="AE93" s="111">
        <f>+IF(AE$2=$E93,$D93,IF(AE$2&gt;AE$257,0,IF($C93=AE$2,"PAGAR"&amp;" "&amp;TEXT($B93," #.##0,00"),0)))</f>
        <v>0</v>
      </c>
      <c r="AF93" s="111">
        <f>+IF(AF$2=$E93,$D93,IF(AF$2&gt;AF$257,0,IF($C93=AF$2,"PAGAR"&amp;" "&amp;TEXT($B93," #.##0,00"),0)))</f>
        <v>0</v>
      </c>
      <c r="AG93" s="111">
        <f>+IF(AG$2=$E93,$D93,IF(AG$2&gt;AG$257,0,IF($C93=AG$2,"PAGAR"&amp;" "&amp;TEXT($B93," #.##0,00"),0)))</f>
        <v>0</v>
      </c>
      <c r="AH93" s="111">
        <f>+IF(AH$2=$E93,$D93,IF(AH$2&gt;AH$257,0,IF($C93=AH$2,"PAGAR"&amp;" "&amp;TEXT($B93," #.##0,00"),0)))</f>
        <v>0</v>
      </c>
      <c r="AI93" s="111">
        <f>+IF(AI$2=$E93,$D93,IF(AI$2&gt;AI$257,0,IF($C93=AI$2,"PAGAR"&amp;" "&amp;TEXT($B93," #.##0,00"),0)))</f>
        <v>0</v>
      </c>
      <c r="AJ93" s="111">
        <f>+IF(AJ$2=$E93,$D93,IF(AJ$2&gt;AJ$257,0,IF($C93=AJ$2,"PAGAR"&amp;" "&amp;TEXT($B93," #.##0,00"),0)))</f>
        <v>0</v>
      </c>
      <c r="AK93" s="111">
        <f>+IF(AK$2=$E93,$D93,IF(AK$2&gt;AK$257,0,IF($C93=AK$2,"PAGAR"&amp;" "&amp;TEXT($B93," #.##0,00"),0)))</f>
        <v>0</v>
      </c>
      <c r="AL93" s="111">
        <f>+IF(AL$2=$E93,$D93,IF(AL$2&gt;AL$257,0,IF($C93=AL$2,"PAGAR"&amp;" "&amp;TEXT($B93," #.##0,00"),0)))</f>
        <v>0</v>
      </c>
      <c r="AM93" s="111">
        <f>+IF(AM$2=$E93,$D93,IF(AM$2&gt;AM$257,0,IF($C93=AM$2,"PAGAR"&amp;" "&amp;TEXT($B93," #.##0,00"),0)))</f>
        <v>0</v>
      </c>
      <c r="AN93" s="111">
        <f t="shared" ca="1" si="17"/>
        <v>0</v>
      </c>
      <c r="AO93" s="287">
        <f t="shared" si="18"/>
        <v>1709</v>
      </c>
    </row>
    <row r="94" spans="1:56" x14ac:dyDescent="0.25">
      <c r="A94" s="212" t="s">
        <v>163</v>
      </c>
      <c r="B94" s="90">
        <v>3099</v>
      </c>
      <c r="C94" s="91">
        <v>26</v>
      </c>
      <c r="D94" s="97"/>
      <c r="E94" s="166"/>
      <c r="F94" s="84">
        <f ca="1">+IF(TODAY()&lt;DATEVALUE(1&amp;D$1&amp;E$1),0,IF(C94&gt;0,IF(C94-SUM(I$255:AM$255)&lt;0,B94-SUM(I94:AM94,0),0),0))+IF(C94=-1,B94-SUM(J94:AM94))</f>
        <v>0</v>
      </c>
      <c r="G94" s="1">
        <f t="shared" si="16"/>
        <v>0</v>
      </c>
      <c r="H94" s="14"/>
      <c r="I94" s="111">
        <f>IF(I$2=$E94,$D94,IF(I$2&gt;I$257,0,IF($C94=I$2,"PAGAR"&amp;" "&amp;TEXT($B94," #.##0,00"),IF($C94=-1,"PAGAR"&amp;" "&amp;TEXT($B94," #.##0,00"),0))))</f>
        <v>0</v>
      </c>
      <c r="J94" s="111">
        <f>+IF(J$2=$E94,$D94,IF(J$2&gt;J$257,0,IF($C94=J$2,"PAGAR"&amp;" "&amp;TEXT($B94," #.##0,00"),0)))</f>
        <v>0</v>
      </c>
      <c r="K94" s="111">
        <f>+IF(K$2=$E94,$D94,IF(K$2&gt;K$257,0,IF($C94=K$2,"PAGAR"&amp;" "&amp;TEXT($B94," #.##0,00"),0)))</f>
        <v>0</v>
      </c>
      <c r="L94" s="111">
        <f>+IF(L$2=$E94,$D94,IF(L$2&gt;L$257,0,IF($C94=L$2,"PAGAR"&amp;" "&amp;TEXT($B94," #.##0,00"),0)))</f>
        <v>0</v>
      </c>
      <c r="M94" s="111">
        <f>+IF(M$2=$E94,$D94,IF(M$2&gt;M$257,0,IF($C94=M$2,"PAGAR"&amp;" "&amp;TEXT($B94," #.##0,00"),0)))</f>
        <v>0</v>
      </c>
      <c r="N94" s="111">
        <f>+IF(N$2=$E94,$D94,IF(N$2&gt;N$257,0,IF($C94=N$2,"PAGAR"&amp;" "&amp;TEXT($B94," #.##0,00"),0)))</f>
        <v>0</v>
      </c>
      <c r="O94" s="111">
        <f>+IF(O$2=$E94,$D94,IF(O$2&gt;O$257,0,IF($C94=O$2,"PAGAR"&amp;" "&amp;TEXT($B94," #.##0,00"),0)))</f>
        <v>0</v>
      </c>
      <c r="P94" s="111">
        <f>+IF(P$2=$E94,$D94,IF(P$2&gt;P$257,0,IF($C94=P$2,"PAGAR"&amp;" "&amp;TEXT($B94," #.##0,00"),0)))</f>
        <v>0</v>
      </c>
      <c r="Q94" s="111">
        <f>+IF(Q$2=$E94,$D94,IF(Q$2&gt;Q$257,0,IF($C94=Q$2,"PAGAR"&amp;" "&amp;TEXT($B94," #.##0,00"),0)))</f>
        <v>0</v>
      </c>
      <c r="R94" s="111">
        <f>+IF(R$2=$E94,$D94,IF(R$2&gt;R$257,0,IF($C94=R$2,"PAGAR"&amp;" "&amp;TEXT($B94," #.##0,00"),0)))</f>
        <v>0</v>
      </c>
      <c r="S94" s="111">
        <f>+IF(S$2=$E94,$D94,IF(S$2&gt;S$257,0,IF($C94=S$2,"PAGAR"&amp;" "&amp;TEXT($B94," #.##0,00"),0)))</f>
        <v>0</v>
      </c>
      <c r="T94" s="111">
        <f>+IF(T$2=$E94,$D94,IF(T$2&gt;T$257,0,IF($C94=T$2,"PAGAR"&amp;" "&amp;TEXT($B94," #.##0,00"),0)))</f>
        <v>0</v>
      </c>
      <c r="U94" s="111">
        <f>+IF(U$2=$E94,$D94,IF(U$2&gt;U$257,0,IF($C94=U$2,"PAGAR"&amp;" "&amp;TEXT($B94," #.##0,00"),0)))</f>
        <v>0</v>
      </c>
      <c r="V94" s="111">
        <f>+IF(V$2=$E94,$D94,IF(V$2&gt;V$257,0,IF($C94=V$2,"PAGAR"&amp;" "&amp;TEXT($B94," #.##0,00"),0)))</f>
        <v>0</v>
      </c>
      <c r="W94" s="111">
        <f>+IF(W$2=$E94,$D94,IF(W$2&gt;W$257,0,IF($C94=W$2,"PAGAR"&amp;" "&amp;TEXT($B94," #.##0,00"),0)))</f>
        <v>0</v>
      </c>
      <c r="X94" s="111">
        <f>+IF(X$2=$E94,$D94,IF(X$2&gt;X$257,0,IF($C94=X$2,"PAGAR"&amp;" "&amp;TEXT($B94," #.##0,00"),0)))</f>
        <v>0</v>
      </c>
      <c r="Y94" s="111">
        <f>+IF(Y$2=$E94,$D94,IF(Y$2&gt;Y$257,0,IF($C94=Y$2,"PAGAR"&amp;" "&amp;TEXT($B94," #.##0,00"),0)))</f>
        <v>0</v>
      </c>
      <c r="Z94" s="111">
        <f>+IF(Z$2=$E94,$D94,IF(Z$2&gt;Z$257,0,IF($C94=Z$2,"PAGAR"&amp;" "&amp;TEXT($B94," #.##0,00"),0)))</f>
        <v>0</v>
      </c>
      <c r="AA94" s="111">
        <f>+IF(AA$2=$E94,$D94,IF(AA$2&gt;AA$257,0,IF($C94=AA$2,"PAGAR"&amp;" "&amp;TEXT($B94," #.##0,00"),0)))</f>
        <v>0</v>
      </c>
      <c r="AB94" s="111">
        <f>+IF(AB$2=$E94,$D94,IF(AB$2&gt;AB$257,0,IF($C94=AB$2,"PAGAR"&amp;" "&amp;TEXT($B94," #.##0,00"),0)))</f>
        <v>0</v>
      </c>
      <c r="AC94" s="111">
        <f>+IF(AC$2=$E94,$D94,IF(AC$2&gt;AC$257,0,IF($C94=AC$2,"PAGAR"&amp;" "&amp;TEXT($B94," #.##0,00"),0)))</f>
        <v>0</v>
      </c>
      <c r="AD94" s="111">
        <f>+IF(AD$2=$E94,$D94,IF(AD$2&gt;AD$257,0,IF($C94=AD$2,"PAGAR"&amp;" "&amp;TEXT($B94," #.##0,00"),0)))</f>
        <v>0</v>
      </c>
      <c r="AE94" s="111">
        <f>+IF(AE$2=$E94,$D94,IF(AE$2&gt;AE$257,0,IF($C94=AE$2,"PAGAR"&amp;" "&amp;TEXT($B94," #.##0,00"),0)))</f>
        <v>0</v>
      </c>
      <c r="AF94" s="111">
        <f>+IF(AF$2=$E94,$D94,IF(AF$2&gt;AF$257,0,IF($C94=AF$2,"PAGAR"&amp;" "&amp;TEXT($B94," #.##0,00"),0)))</f>
        <v>0</v>
      </c>
      <c r="AG94" s="111">
        <f>+IF(AG$2=$E94,$D94,IF(AG$2&gt;AG$257,0,IF($C94=AG$2,"PAGAR"&amp;" "&amp;TEXT($B94," #.##0,00"),0)))</f>
        <v>0</v>
      </c>
      <c r="AH94" s="111" t="str">
        <f>+IF(AH$2=$E94,$D94,IF(AH$2&gt;AH$257,0,IF($C94=AH$2,"PAGAR"&amp;" "&amp;TEXT($B94," #.##0,00"),0)))</f>
        <v>PAGAR  3.099,00</v>
      </c>
      <c r="AI94" s="111">
        <f>+IF(AI$2=$E94,$D94,IF(AI$2&gt;AI$257,0,IF($C94=AI$2,"PAGAR"&amp;" "&amp;TEXT($B94," #.##0,00"),0)))</f>
        <v>0</v>
      </c>
      <c r="AJ94" s="111">
        <f>+IF(AJ$2=$E94,$D94,IF(AJ$2&gt;AJ$257,0,IF($C94=AJ$2,"PAGAR"&amp;" "&amp;TEXT($B94," #.##0,00"),0)))</f>
        <v>0</v>
      </c>
      <c r="AK94" s="111">
        <f>+IF(AK$2=$E94,$D94,IF(AK$2&gt;AK$257,0,IF($C94=AK$2,"PAGAR"&amp;" "&amp;TEXT($B94," #.##0,00"),0)))</f>
        <v>0</v>
      </c>
      <c r="AL94" s="111">
        <f>+IF(AL$2=$E94,$D94,IF(AL$2&gt;AL$257,0,IF($C94=AL$2,"PAGAR"&amp;" "&amp;TEXT($B94," #.##0,00"),0)))</f>
        <v>0</v>
      </c>
      <c r="AM94" s="111">
        <f>+IF(AM$2=$E94,$D94,IF(AM$2&gt;AM$257,0,IF($C94=AM$2,"PAGAR"&amp;" "&amp;TEXT($B94," #.##0,00"),0)))</f>
        <v>0</v>
      </c>
      <c r="AN94" s="111">
        <f t="shared" ca="1" si="17"/>
        <v>0</v>
      </c>
      <c r="AO94" s="287">
        <f t="shared" si="18"/>
        <v>0</v>
      </c>
    </row>
    <row r="95" spans="1:56" x14ac:dyDescent="0.25">
      <c r="A95" s="212"/>
      <c r="B95" s="90"/>
      <c r="C95" s="91"/>
      <c r="D95" s="97"/>
      <c r="E95" s="166"/>
      <c r="F95" s="84">
        <f ca="1">+IF(TODAY()&lt;DATEVALUE(1&amp;D$1&amp;E$1),0,IF(C95&gt;0,IF(C95-SUM(I$255:AM$255)&lt;0,B95-SUM(I95:AM95,0),0),0))+IF(C95=-1,B95-SUM(J95:AM95))</f>
        <v>0</v>
      </c>
      <c r="G95" s="1" t="str">
        <f t="shared" si="16"/>
        <v>-</v>
      </c>
      <c r="H95" s="14"/>
      <c r="I95" s="111">
        <f>IF(I$2=$E95,$D95,IF(I$2&gt;I$257,0,IF($C95=I$2,"PAGAR"&amp;" "&amp;TEXT($B95," #.##0,00"),IF($C95=-1,"PAGAR"&amp;" "&amp;TEXT($B95," #.##0,00"),0))))</f>
        <v>0</v>
      </c>
      <c r="J95" s="111">
        <f>+IF(J$2=$E95,$D95,IF(J$2&gt;J$257,0,IF($C95=J$2,"PAGAR"&amp;" "&amp;TEXT($B95," #.##0,00"),0)))</f>
        <v>0</v>
      </c>
      <c r="K95" s="111">
        <f>+IF(K$2=$E95,$D95,IF(K$2&gt;K$257,0,IF($C95=K$2,"PAGAR"&amp;" "&amp;TEXT($B95," #.##0,00"),0)))</f>
        <v>0</v>
      </c>
      <c r="L95" s="111">
        <f>+IF(L$2=$E95,$D95,IF(L$2&gt;L$257,0,IF($C95=L$2,"PAGAR"&amp;" "&amp;TEXT($B95," #.##0,00"),0)))</f>
        <v>0</v>
      </c>
      <c r="M95" s="111">
        <f>+IF(M$2=$E95,$D95,IF(M$2&gt;M$257,0,IF($C95=M$2,"PAGAR"&amp;" "&amp;TEXT($B95," #.##0,00"),0)))</f>
        <v>0</v>
      </c>
      <c r="N95" s="111">
        <f>+IF(N$2=$E95,$D95,IF(N$2&gt;N$257,0,IF($C95=N$2,"PAGAR"&amp;" "&amp;TEXT($B95," #.##0,00"),0)))</f>
        <v>0</v>
      </c>
      <c r="O95" s="111">
        <f>+IF(O$2=$E95,$D95,IF(O$2&gt;O$257,0,IF($C95=O$2,"PAGAR"&amp;" "&amp;TEXT($B95," #.##0,00"),0)))</f>
        <v>0</v>
      </c>
      <c r="P95" s="111">
        <f>+IF(P$2=$E95,$D95,IF(P$2&gt;P$257,0,IF($C95=P$2,"PAGAR"&amp;" "&amp;TEXT($B95," #.##0,00"),0)))</f>
        <v>0</v>
      </c>
      <c r="Q95" s="111">
        <f>+IF(Q$2=$E95,$D95,IF(Q$2&gt;Q$257,0,IF($C95=Q$2,"PAGAR"&amp;" "&amp;TEXT($B95," #.##0,00"),0)))</f>
        <v>0</v>
      </c>
      <c r="R95" s="111">
        <f>+IF(R$2=$E95,$D95,IF(R$2&gt;R$257,0,IF($C95=R$2,"PAGAR"&amp;" "&amp;TEXT($B95," #.##0,00"),0)))</f>
        <v>0</v>
      </c>
      <c r="S95" s="111">
        <f>+IF(S$2=$E95,$D95,IF(S$2&gt;S$257,0,IF($C95=S$2,"PAGAR"&amp;" "&amp;TEXT($B95," #.##0,00"),0)))</f>
        <v>0</v>
      </c>
      <c r="T95" s="111">
        <f>+IF(T$2=$E95,$D95,IF(T$2&gt;T$257,0,IF($C95=T$2,"PAGAR"&amp;" "&amp;TEXT($B95," #.##0,00"),0)))</f>
        <v>0</v>
      </c>
      <c r="U95" s="111">
        <f>+IF(U$2=$E95,$D95,IF(U$2&gt;U$257,0,IF($C95=U$2,"PAGAR"&amp;" "&amp;TEXT($B95," #.##0,00"),0)))</f>
        <v>0</v>
      </c>
      <c r="V95" s="111">
        <f>+IF(V$2=$E95,$D95,IF(V$2&gt;V$257,0,IF($C95=V$2,"PAGAR"&amp;" "&amp;TEXT($B95," #.##0,00"),0)))</f>
        <v>0</v>
      </c>
      <c r="W95" s="111">
        <f>+IF(W$2=$E95,$D95,IF(W$2&gt;W$257,0,IF($C95=W$2,"PAGAR"&amp;" "&amp;TEXT($B95," #.##0,00"),0)))</f>
        <v>0</v>
      </c>
      <c r="X95" s="111">
        <f>+IF(X$2=$E95,$D95,IF(X$2&gt;X$257,0,IF($C95=X$2,"PAGAR"&amp;" "&amp;TEXT($B95," #.##0,00"),0)))</f>
        <v>0</v>
      </c>
      <c r="Y95" s="111">
        <f>+IF(Y$2=$E95,$D95,IF(Y$2&gt;Y$257,0,IF($C95=Y$2,"PAGAR"&amp;" "&amp;TEXT($B95," #.##0,00"),0)))</f>
        <v>0</v>
      </c>
      <c r="Z95" s="111">
        <f>+IF(Z$2=$E95,$D95,IF(Z$2&gt;Z$257,0,IF($C95=Z$2,"PAGAR"&amp;" "&amp;TEXT($B95," #.##0,00"),0)))</f>
        <v>0</v>
      </c>
      <c r="AA95" s="111">
        <f>+IF(AA$2=$E95,$D95,IF(AA$2&gt;AA$257,0,IF($C95=AA$2,"PAGAR"&amp;" "&amp;TEXT($B95," #.##0,00"),0)))</f>
        <v>0</v>
      </c>
      <c r="AB95" s="111">
        <f>+IF(AB$2=$E95,$D95,IF(AB$2&gt;AB$257,0,IF($C95=AB$2,"PAGAR"&amp;" "&amp;TEXT($B95," #.##0,00"),0)))</f>
        <v>0</v>
      </c>
      <c r="AC95" s="111">
        <f>+IF(AC$2=$E95,$D95,IF(AC$2&gt;AC$257,0,IF($C95=AC$2,"PAGAR"&amp;" "&amp;TEXT($B95," #.##0,00"),0)))</f>
        <v>0</v>
      </c>
      <c r="AD95" s="111">
        <f>+IF(AD$2=$E95,$D95,IF(AD$2&gt;AD$257,0,IF($C95=AD$2,"PAGAR"&amp;" "&amp;TEXT($B95," #.##0,00"),0)))</f>
        <v>0</v>
      </c>
      <c r="AE95" s="111">
        <f>+IF(AE$2=$E95,$D95,IF(AE$2&gt;AE$257,0,IF($C95=AE$2,"PAGAR"&amp;" "&amp;TEXT($B95," #.##0,00"),0)))</f>
        <v>0</v>
      </c>
      <c r="AF95" s="111">
        <f>+IF(AF$2=$E95,$D95,IF(AF$2&gt;AF$257,0,IF($C95=AF$2,"PAGAR"&amp;" "&amp;TEXT($B95," #.##0,00"),0)))</f>
        <v>0</v>
      </c>
      <c r="AG95" s="111">
        <f>+IF(AG$2=$E95,$D95,IF(AG$2&gt;AG$257,0,IF($C95=AG$2,"PAGAR"&amp;" "&amp;TEXT($B95," #.##0,00"),0)))</f>
        <v>0</v>
      </c>
      <c r="AH95" s="111">
        <f>+IF(AH$2=$E95,$D95,IF(AH$2&gt;AH$257,0,IF($C95=AH$2,"PAGAR"&amp;" "&amp;TEXT($B95," #.##0,00"),0)))</f>
        <v>0</v>
      </c>
      <c r="AI95" s="111">
        <f>+IF(AI$2=$E95,$D95,IF(AI$2&gt;AI$257,0,IF($C95=AI$2,"PAGAR"&amp;" "&amp;TEXT($B95," #.##0,00"),0)))</f>
        <v>0</v>
      </c>
      <c r="AJ95" s="111">
        <f>+IF(AJ$2=$E95,$D95,IF(AJ$2&gt;AJ$257,0,IF($C95=AJ$2,"PAGAR"&amp;" "&amp;TEXT($B95," #.##0,00"),0)))</f>
        <v>0</v>
      </c>
      <c r="AK95" s="111">
        <f>+IF(AK$2=$E95,$D95,IF(AK$2&gt;AK$257,0,IF($C95=AK$2,"PAGAR"&amp;" "&amp;TEXT($B95," #.##0,00"),0)))</f>
        <v>0</v>
      </c>
      <c r="AL95" s="111">
        <f>+IF(AL$2=$E95,$D95,IF(AL$2&gt;AL$257,0,IF($C95=AL$2,"PAGAR"&amp;" "&amp;TEXT($B95," #.##0,00"),0)))</f>
        <v>0</v>
      </c>
      <c r="AM95" s="111">
        <f>+IF(AM$2=$E95,$D95,IF(AM$2&gt;AM$257,0,IF($C95=AM$2,"PAGAR"&amp;" "&amp;TEXT($B95," #.##0,00"),0)))</f>
        <v>0</v>
      </c>
      <c r="AN95" s="111">
        <f t="shared" ca="1" si="17"/>
        <v>0</v>
      </c>
      <c r="AO95" s="287">
        <f t="shared" si="18"/>
        <v>0</v>
      </c>
    </row>
    <row r="96" spans="1:56" x14ac:dyDescent="0.25">
      <c r="A96" s="212"/>
      <c r="B96" s="90"/>
      <c r="C96" s="91"/>
      <c r="D96" s="97"/>
      <c r="E96" s="166"/>
      <c r="F96" s="84">
        <f ca="1">+IF(TODAY()&lt;DATEVALUE(1&amp;D$1&amp;E$1),0,IF(C96&gt;0,IF(C96-SUM(I$255:AM$255)&lt;0,B96-SUM(I96:AM96,0),0),0))+IF(C96=-1,B96-SUM(J96:AM96))</f>
        <v>0</v>
      </c>
      <c r="G96" s="1" t="str">
        <f t="shared" si="16"/>
        <v>-</v>
      </c>
      <c r="H96" s="14"/>
      <c r="I96" s="111">
        <f>IF(I$2=$E96,$D96,IF(I$2&gt;I$257,0,IF($C96=I$2,"PAGAR"&amp;" "&amp;TEXT($B96," #.##0,00"),IF($C96=-1,"PAGAR"&amp;" "&amp;TEXT($B96," #.##0,00"),0))))</f>
        <v>0</v>
      </c>
      <c r="J96" s="111">
        <f>+IF(J$2=$E96,$D96,IF(J$2&gt;J$257,0,IF($C96=J$2,"PAGAR"&amp;" "&amp;TEXT($B96," #.##0,00"),0)))</f>
        <v>0</v>
      </c>
      <c r="K96" s="111">
        <f>+IF(K$2=$E96,$D96,IF(K$2&gt;K$257,0,IF($C96=K$2,"PAGAR"&amp;" "&amp;TEXT($B96," #.##0,00"),0)))</f>
        <v>0</v>
      </c>
      <c r="L96" s="111">
        <f>+IF(L$2=$E96,$D96,IF(L$2&gt;L$257,0,IF($C96=L$2,"PAGAR"&amp;" "&amp;TEXT($B96," #.##0,00"),0)))</f>
        <v>0</v>
      </c>
      <c r="M96" s="111">
        <f>+IF(M$2=$E96,$D96,IF(M$2&gt;M$257,0,IF($C96=M$2,"PAGAR"&amp;" "&amp;TEXT($B96," #.##0,00"),0)))</f>
        <v>0</v>
      </c>
      <c r="N96" s="111">
        <f>+IF(N$2=$E96,$D96,IF(N$2&gt;N$257,0,IF($C96=N$2,"PAGAR"&amp;" "&amp;TEXT($B96," #.##0,00"),0)))</f>
        <v>0</v>
      </c>
      <c r="O96" s="111">
        <f>+IF(O$2=$E96,$D96,IF(O$2&gt;O$257,0,IF($C96=O$2,"PAGAR"&amp;" "&amp;TEXT($B96," #.##0,00"),0)))</f>
        <v>0</v>
      </c>
      <c r="P96" s="111">
        <f>+IF(P$2=$E96,$D96,IF(P$2&gt;P$257,0,IF($C96=P$2,"PAGAR"&amp;" "&amp;TEXT($B96," #.##0,00"),0)))</f>
        <v>0</v>
      </c>
      <c r="Q96" s="111">
        <f>+IF(Q$2=$E96,$D96,IF(Q$2&gt;Q$257,0,IF($C96=Q$2,"PAGAR"&amp;" "&amp;TEXT($B96," #.##0,00"),0)))</f>
        <v>0</v>
      </c>
      <c r="R96" s="111">
        <f>+IF(R$2=$E96,$D96,IF(R$2&gt;R$257,0,IF($C96=R$2,"PAGAR"&amp;" "&amp;TEXT($B96," #.##0,00"),0)))</f>
        <v>0</v>
      </c>
      <c r="S96" s="111">
        <f>+IF(S$2=$E96,$D96,IF(S$2&gt;S$257,0,IF($C96=S$2,"PAGAR"&amp;" "&amp;TEXT($B96," #.##0,00"),0)))</f>
        <v>0</v>
      </c>
      <c r="T96" s="111">
        <f>+IF(T$2=$E96,$D96,IF(T$2&gt;T$257,0,IF($C96=T$2,"PAGAR"&amp;" "&amp;TEXT($B96," #.##0,00"),0)))</f>
        <v>0</v>
      </c>
      <c r="U96" s="111">
        <f>+IF(U$2=$E96,$D96,IF(U$2&gt;U$257,0,IF($C96=U$2,"PAGAR"&amp;" "&amp;TEXT($B96," #.##0,00"),0)))</f>
        <v>0</v>
      </c>
      <c r="V96" s="111">
        <f>+IF(V$2=$E96,$D96,IF(V$2&gt;V$257,0,IF($C96=V$2,"PAGAR"&amp;" "&amp;TEXT($B96," #.##0,00"),0)))</f>
        <v>0</v>
      </c>
      <c r="W96" s="111">
        <f>+IF(W$2=$E96,$D96,IF(W$2&gt;W$257,0,IF($C96=W$2,"PAGAR"&amp;" "&amp;TEXT($B96," #.##0,00"),0)))</f>
        <v>0</v>
      </c>
      <c r="X96" s="111">
        <f>+IF(X$2=$E96,$D96,IF(X$2&gt;X$257,0,IF($C96=X$2,"PAGAR"&amp;" "&amp;TEXT($B96," #.##0,00"),0)))</f>
        <v>0</v>
      </c>
      <c r="Y96" s="111">
        <f>+IF(Y$2=$E96,$D96,IF(Y$2&gt;Y$257,0,IF($C96=Y$2,"PAGAR"&amp;" "&amp;TEXT($B96," #.##0,00"),0)))</f>
        <v>0</v>
      </c>
      <c r="Z96" s="111">
        <f>+IF(Z$2=$E96,$D96,IF(Z$2&gt;Z$257,0,IF($C96=Z$2,"PAGAR"&amp;" "&amp;TEXT($B96," #.##0,00"),0)))</f>
        <v>0</v>
      </c>
      <c r="AA96" s="111">
        <f>+IF(AA$2=$E96,$D96,IF(AA$2&gt;AA$257,0,IF($C96=AA$2,"PAGAR"&amp;" "&amp;TEXT($B96," #.##0,00"),0)))</f>
        <v>0</v>
      </c>
      <c r="AB96" s="111">
        <f>+IF(AB$2=$E96,$D96,IF(AB$2&gt;AB$257,0,IF($C96=AB$2,"PAGAR"&amp;" "&amp;TEXT($B96," #.##0,00"),0)))</f>
        <v>0</v>
      </c>
      <c r="AC96" s="111">
        <f>+IF(AC$2=$E96,$D96,IF(AC$2&gt;AC$257,0,IF($C96=AC$2,"PAGAR"&amp;" "&amp;TEXT($B96," #.##0,00"),0)))</f>
        <v>0</v>
      </c>
      <c r="AD96" s="111">
        <f>+IF(AD$2=$E96,$D96,IF(AD$2&gt;AD$257,0,IF($C96=AD$2,"PAGAR"&amp;" "&amp;TEXT($B96," #.##0,00"),0)))</f>
        <v>0</v>
      </c>
      <c r="AE96" s="111">
        <f>+IF(AE$2=$E96,$D96,IF(AE$2&gt;AE$257,0,IF($C96=AE$2,"PAGAR"&amp;" "&amp;TEXT($B96," #.##0,00"),0)))</f>
        <v>0</v>
      </c>
      <c r="AF96" s="111">
        <f>+IF(AF$2=$E96,$D96,IF(AF$2&gt;AF$257,0,IF($C96=AF$2,"PAGAR"&amp;" "&amp;TEXT($B96," #.##0,00"),0)))</f>
        <v>0</v>
      </c>
      <c r="AG96" s="111">
        <f>+IF(AG$2=$E96,$D96,IF(AG$2&gt;AG$257,0,IF($C96=AG$2,"PAGAR"&amp;" "&amp;TEXT($B96," #.##0,00"),0)))</f>
        <v>0</v>
      </c>
      <c r="AH96" s="111">
        <f>+IF(AH$2=$E96,$D96,IF(AH$2&gt;AH$257,0,IF($C96=AH$2,"PAGAR"&amp;" "&amp;TEXT($B96," #.##0,00"),0)))</f>
        <v>0</v>
      </c>
      <c r="AI96" s="111">
        <f>+IF(AI$2=$E96,$D96,IF(AI$2&gt;AI$257,0,IF($C96=AI$2,"PAGAR"&amp;" "&amp;TEXT($B96," #.##0,00"),0)))</f>
        <v>0</v>
      </c>
      <c r="AJ96" s="111">
        <f>+IF(AJ$2=$E96,$D96,IF(AJ$2&gt;AJ$257,0,IF($C96=AJ$2,"PAGAR"&amp;" "&amp;TEXT($B96," #.##0,00"),0)))</f>
        <v>0</v>
      </c>
      <c r="AK96" s="111">
        <f>+IF(AK$2=$E96,$D96,IF(AK$2&gt;AK$257,0,IF($C96=AK$2,"PAGAR"&amp;" "&amp;TEXT($B96," #.##0,00"),0)))</f>
        <v>0</v>
      </c>
      <c r="AL96" s="111">
        <f>+IF(AL$2=$E96,$D96,IF(AL$2&gt;AL$257,0,IF($C96=AL$2,"PAGAR"&amp;" "&amp;TEXT($B96," #.##0,00"),0)))</f>
        <v>0</v>
      </c>
      <c r="AM96" s="111">
        <f>+IF(AM$2=$E96,$D96,IF(AM$2&gt;AM$257,0,IF($C96=AM$2,"PAGAR"&amp;" "&amp;TEXT($B96," #.##0,00"),0)))</f>
        <v>0</v>
      </c>
      <c r="AN96" s="111">
        <f t="shared" ca="1" si="17"/>
        <v>0</v>
      </c>
      <c r="AO96" s="287">
        <f t="shared" si="18"/>
        <v>0</v>
      </c>
    </row>
    <row r="97" spans="1:41" x14ac:dyDescent="0.25">
      <c r="A97" s="212"/>
      <c r="B97" s="90"/>
      <c r="C97" s="91"/>
      <c r="D97" s="97"/>
      <c r="E97" s="166"/>
      <c r="F97" s="84">
        <f ca="1">+IF(TODAY()&lt;DATEVALUE(1&amp;D$1&amp;E$1),0,IF(C97&gt;0,IF(C97-SUM(I$255:AM$255)&lt;0,B97-SUM(I97:AM97,0),0),0))+IF(C97=-1,B97-SUM(J97:AM97))</f>
        <v>0</v>
      </c>
      <c r="G97" s="1" t="str">
        <f t="shared" si="16"/>
        <v>-</v>
      </c>
      <c r="H97" s="14"/>
      <c r="I97" s="111">
        <f>IF(I$2=$E97,$D97,IF(I$2&gt;I$257,0,IF($C97=I$2,"PAGAR"&amp;" "&amp;TEXT($B97," #.##0,00"),IF($C97=-1,"PAGAR"&amp;" "&amp;TEXT($B97," #.##0,00"),0))))</f>
        <v>0</v>
      </c>
      <c r="J97" s="111">
        <f>+IF(J$2=$E97,$D97,IF(J$2&gt;J$257,0,IF($C97=J$2,"PAGAR"&amp;" "&amp;TEXT($B97," #.##0,00"),0)))</f>
        <v>0</v>
      </c>
      <c r="K97" s="111">
        <f>+IF(K$2=$E97,$D97,IF(K$2&gt;K$257,0,IF($C97=K$2,"PAGAR"&amp;" "&amp;TEXT($B97," #.##0,00"),0)))</f>
        <v>0</v>
      </c>
      <c r="L97" s="111">
        <f>+IF(L$2=$E97,$D97,IF(L$2&gt;L$257,0,IF($C97=L$2,"PAGAR"&amp;" "&amp;TEXT($B97," #.##0,00"),0)))</f>
        <v>0</v>
      </c>
      <c r="M97" s="111">
        <f>+IF(M$2=$E97,$D97,IF(M$2&gt;M$257,0,IF($C97=M$2,"PAGAR"&amp;" "&amp;TEXT($B97," #.##0,00"),0)))</f>
        <v>0</v>
      </c>
      <c r="N97" s="111">
        <f>+IF(N$2=$E97,$D97,IF(N$2&gt;N$257,0,IF($C97=N$2,"PAGAR"&amp;" "&amp;TEXT($B97," #.##0,00"),0)))</f>
        <v>0</v>
      </c>
      <c r="O97" s="111">
        <f>+IF(O$2=$E97,$D97,IF(O$2&gt;O$257,0,IF($C97=O$2,"PAGAR"&amp;" "&amp;TEXT($B97," #.##0,00"),0)))</f>
        <v>0</v>
      </c>
      <c r="P97" s="111">
        <f>+IF(P$2=$E97,$D97,IF(P$2&gt;P$257,0,IF($C97=P$2,"PAGAR"&amp;" "&amp;TEXT($B97," #.##0,00"),0)))</f>
        <v>0</v>
      </c>
      <c r="Q97" s="111">
        <f>+IF(Q$2=$E97,$D97,IF(Q$2&gt;Q$257,0,IF($C97=Q$2,"PAGAR"&amp;" "&amp;TEXT($B97," #.##0,00"),0)))</f>
        <v>0</v>
      </c>
      <c r="R97" s="111">
        <f>+IF(R$2=$E97,$D97,IF(R$2&gt;R$257,0,IF($C97=R$2,"PAGAR"&amp;" "&amp;TEXT($B97," #.##0,00"),0)))</f>
        <v>0</v>
      </c>
      <c r="S97" s="111">
        <f>+IF(S$2=$E97,$D97,IF(S$2&gt;S$257,0,IF($C97=S$2,"PAGAR"&amp;" "&amp;TEXT($B97," #.##0,00"),0)))</f>
        <v>0</v>
      </c>
      <c r="T97" s="111">
        <f>+IF(T$2=$E97,$D97,IF(T$2&gt;T$257,0,IF($C97=T$2,"PAGAR"&amp;" "&amp;TEXT($B97," #.##0,00"),0)))</f>
        <v>0</v>
      </c>
      <c r="U97" s="111">
        <f>+IF(U$2=$E97,$D97,IF(U$2&gt;U$257,0,IF($C97=U$2,"PAGAR"&amp;" "&amp;TEXT($B97," #.##0,00"),0)))</f>
        <v>0</v>
      </c>
      <c r="V97" s="111">
        <f>+IF(V$2=$E97,$D97,IF(V$2&gt;V$257,0,IF($C97=V$2,"PAGAR"&amp;" "&amp;TEXT($B97," #.##0,00"),0)))</f>
        <v>0</v>
      </c>
      <c r="W97" s="111">
        <f>+IF(W$2=$E97,$D97,IF(W$2&gt;W$257,0,IF($C97=W$2,"PAGAR"&amp;" "&amp;TEXT($B97," #.##0,00"),0)))</f>
        <v>0</v>
      </c>
      <c r="X97" s="111">
        <f>+IF(X$2=$E97,$D97,IF(X$2&gt;X$257,0,IF($C97=X$2,"PAGAR"&amp;" "&amp;TEXT($B97," #.##0,00"),0)))</f>
        <v>0</v>
      </c>
      <c r="Y97" s="111">
        <f>+IF(Y$2=$E97,$D97,IF(Y$2&gt;Y$257,0,IF($C97=Y$2,"PAGAR"&amp;" "&amp;TEXT($B97," #.##0,00"),0)))</f>
        <v>0</v>
      </c>
      <c r="Z97" s="111">
        <f>+IF(Z$2=$E97,$D97,IF(Z$2&gt;Z$257,0,IF($C97=Z$2,"PAGAR"&amp;" "&amp;TEXT($B97," #.##0,00"),0)))</f>
        <v>0</v>
      </c>
      <c r="AA97" s="111">
        <f>+IF(AA$2=$E97,$D97,IF(AA$2&gt;AA$257,0,IF($C97=AA$2,"PAGAR"&amp;" "&amp;TEXT($B97," #.##0,00"),0)))</f>
        <v>0</v>
      </c>
      <c r="AB97" s="111">
        <f>+IF(AB$2=$E97,$D97,IF(AB$2&gt;AB$257,0,IF($C97=AB$2,"PAGAR"&amp;" "&amp;TEXT($B97," #.##0,00"),0)))</f>
        <v>0</v>
      </c>
      <c r="AC97" s="111">
        <f>+IF(AC$2=$E97,$D97,IF(AC$2&gt;AC$257,0,IF($C97=AC$2,"PAGAR"&amp;" "&amp;TEXT($B97," #.##0,00"),0)))</f>
        <v>0</v>
      </c>
      <c r="AD97" s="111">
        <f>+IF(AD$2=$E97,$D97,IF(AD$2&gt;AD$257,0,IF($C97=AD$2,"PAGAR"&amp;" "&amp;TEXT($B97," #.##0,00"),0)))</f>
        <v>0</v>
      </c>
      <c r="AE97" s="111">
        <f>+IF(AE$2=$E97,$D97,IF(AE$2&gt;AE$257,0,IF($C97=AE$2,"PAGAR"&amp;" "&amp;TEXT($B97," #.##0,00"),0)))</f>
        <v>0</v>
      </c>
      <c r="AF97" s="111">
        <f>+IF(AF$2=$E97,$D97,IF(AF$2&gt;AF$257,0,IF($C97=AF$2,"PAGAR"&amp;" "&amp;TEXT($B97," #.##0,00"),0)))</f>
        <v>0</v>
      </c>
      <c r="AG97" s="111">
        <f>+IF(AG$2=$E97,$D97,IF(AG$2&gt;AG$257,0,IF($C97=AG$2,"PAGAR"&amp;" "&amp;TEXT($B97," #.##0,00"),0)))</f>
        <v>0</v>
      </c>
      <c r="AH97" s="111">
        <f>+IF(AH$2=$E97,$D97,IF(AH$2&gt;AH$257,0,IF($C97=AH$2,"PAGAR"&amp;" "&amp;TEXT($B97," #.##0,00"),0)))</f>
        <v>0</v>
      </c>
      <c r="AI97" s="111">
        <f>+IF(AI$2=$E97,$D97,IF(AI$2&gt;AI$257,0,IF($C97=AI$2,"PAGAR"&amp;" "&amp;TEXT($B97," #.##0,00"),0)))</f>
        <v>0</v>
      </c>
      <c r="AJ97" s="111">
        <f>+IF(AJ$2=$E97,$D97,IF(AJ$2&gt;AJ$257,0,IF($C97=AJ$2,"PAGAR"&amp;" "&amp;TEXT($B97," #.##0,00"),0)))</f>
        <v>0</v>
      </c>
      <c r="AK97" s="111">
        <f>+IF(AK$2=$E97,$D97,IF(AK$2&gt;AK$257,0,IF($C97=AK$2,"PAGAR"&amp;" "&amp;TEXT($B97," #.##0,00"),0)))</f>
        <v>0</v>
      </c>
      <c r="AL97" s="111">
        <f>+IF(AL$2=$E97,$D97,IF(AL$2&gt;AL$257,0,IF($C97=AL$2,"PAGAR"&amp;" "&amp;TEXT($B97," #.##0,00"),0)))</f>
        <v>0</v>
      </c>
      <c r="AM97" s="111">
        <f>+IF(AM$2=$E97,$D97,IF(AM$2&gt;AM$257,0,IF($C97=AM$2,"PAGAR"&amp;" "&amp;TEXT($B97," #.##0,00"),0)))</f>
        <v>0</v>
      </c>
      <c r="AN97" s="111">
        <f t="shared" ca="1" si="17"/>
        <v>0</v>
      </c>
      <c r="AO97" s="287">
        <f t="shared" si="18"/>
        <v>0</v>
      </c>
    </row>
    <row r="98" spans="1:41" ht="15.75" x14ac:dyDescent="0.25">
      <c r="A98" s="112" t="s">
        <v>76</v>
      </c>
      <c r="B98" s="6">
        <f>+SUM(B91:B97)</f>
        <v>9996</v>
      </c>
      <c r="C98" s="81"/>
      <c r="D98" s="6">
        <f>+SUM(D91:D97)</f>
        <v>0</v>
      </c>
      <c r="E98" s="81"/>
      <c r="F98" s="195">
        <f ca="1">+SUMIF(F91:F97,"&gt;0")</f>
        <v>5188</v>
      </c>
      <c r="G98" s="3">
        <f t="shared" si="16"/>
        <v>0</v>
      </c>
      <c r="H98" s="5"/>
      <c r="I98" s="2">
        <f>+PLAN2!H99</f>
        <v>0</v>
      </c>
      <c r="J98" s="2">
        <f>+PLAN2!I99</f>
        <v>0</v>
      </c>
      <c r="K98" s="2">
        <f>+PLAN2!J99</f>
        <v>0</v>
      </c>
      <c r="L98" s="2">
        <f>+PLAN2!K99</f>
        <v>0</v>
      </c>
      <c r="M98" s="2">
        <f>+PLAN2!L99</f>
        <v>5188</v>
      </c>
      <c r="N98" s="2">
        <f>+PLAN2!M99</f>
        <v>0</v>
      </c>
      <c r="O98" s="2">
        <f>+PLAN2!N99</f>
        <v>0</v>
      </c>
      <c r="P98" s="2">
        <f>+PLAN2!O99</f>
        <v>0</v>
      </c>
      <c r="Q98" s="2">
        <f>+PLAN2!P99</f>
        <v>0</v>
      </c>
      <c r="R98" s="2">
        <f>+PLAN2!Q99</f>
        <v>0</v>
      </c>
      <c r="S98" s="2">
        <f>+PLAN2!R99</f>
        <v>0</v>
      </c>
      <c r="T98" s="2">
        <f>+PLAN2!S99</f>
        <v>0</v>
      </c>
      <c r="U98" s="2">
        <f>+PLAN2!T99</f>
        <v>0</v>
      </c>
      <c r="V98" s="2">
        <f>+PLAN2!U99</f>
        <v>0</v>
      </c>
      <c r="W98" s="2">
        <f>+PLAN2!V99</f>
        <v>0</v>
      </c>
      <c r="X98" s="2">
        <f>+PLAN2!W99</f>
        <v>0</v>
      </c>
      <c r="Y98" s="2">
        <f>+PLAN2!X99</f>
        <v>0</v>
      </c>
      <c r="Z98" s="2">
        <f>+PLAN2!Y99</f>
        <v>0</v>
      </c>
      <c r="AA98" s="2">
        <f>+PLAN2!Z99</f>
        <v>0</v>
      </c>
      <c r="AB98" s="2">
        <f>+PLAN2!AA99</f>
        <v>0</v>
      </c>
      <c r="AC98" s="2">
        <f>+PLAN2!AB99</f>
        <v>0</v>
      </c>
      <c r="AD98" s="2">
        <f>+PLAN2!AC99</f>
        <v>0</v>
      </c>
      <c r="AE98" s="2">
        <f>+PLAN2!AD99</f>
        <v>0</v>
      </c>
      <c r="AF98" s="2">
        <f>+PLAN2!AE99</f>
        <v>0</v>
      </c>
      <c r="AG98" s="2">
        <f>+PLAN2!AF99</f>
        <v>0</v>
      </c>
      <c r="AH98" s="2">
        <f>+PLAN2!AG99</f>
        <v>3099</v>
      </c>
      <c r="AI98" s="2">
        <f>+PLAN2!AH99</f>
        <v>0</v>
      </c>
      <c r="AJ98" s="2">
        <f>+PLAN2!AI99</f>
        <v>0</v>
      </c>
      <c r="AK98" s="2">
        <f>+PLAN2!AJ99</f>
        <v>0</v>
      </c>
      <c r="AL98" s="2">
        <f>+PLAN2!AK99</f>
        <v>0</v>
      </c>
      <c r="AM98" s="2">
        <f>+PLAN2!AL99</f>
        <v>0</v>
      </c>
      <c r="AN98" s="2">
        <f ca="1">SUM(AN91:AN97)</f>
        <v>0</v>
      </c>
      <c r="AO98" s="288"/>
    </row>
    <row r="99" spans="1:41" x14ac:dyDescent="0.25">
      <c r="A99" s="211" t="s">
        <v>165</v>
      </c>
      <c r="B99" s="109"/>
      <c r="C99" s="109"/>
      <c r="D99" s="109"/>
      <c r="E99" s="109"/>
      <c r="F99" s="109"/>
      <c r="G99" s="109"/>
      <c r="H99" s="11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09"/>
      <c r="AK99" s="109"/>
      <c r="AL99" s="109"/>
      <c r="AM99" s="110"/>
      <c r="AN99" s="13"/>
      <c r="AO99" s="285"/>
    </row>
    <row r="100" spans="1:41" x14ac:dyDescent="0.25">
      <c r="A100" s="212" t="s">
        <v>166</v>
      </c>
      <c r="B100" s="90">
        <v>10606.05</v>
      </c>
      <c r="C100" s="91">
        <v>8</v>
      </c>
      <c r="D100" s="97"/>
      <c r="E100" s="166"/>
      <c r="F100" s="84">
        <f ca="1">+IF(TODAY()&lt;DATEVALUE(1&amp;D$1&amp;E$1),0,IF(C100&gt;0,IF(C100-SUM(I$255:AM$255)&lt;0,B100-SUM(I100:AM100,0),0),0))+IF(C100=-1,B100-SUM(J100:AM100))</f>
        <v>10606.05</v>
      </c>
      <c r="G100" s="1">
        <f>+IF(B100=0,"-",D100/B100)</f>
        <v>0</v>
      </c>
      <c r="H100" s="14"/>
      <c r="I100" s="111">
        <f>IF(I$2=$E100,$D100,IF(I$2&gt;I$257,0,IF($C100=I$2,"PAGAR"&amp;" "&amp;TEXT($B100," #.##0,00"),IF($C100=-1,"PAGAR"&amp;" "&amp;TEXT($B100," #.##0,00"),0))))</f>
        <v>0</v>
      </c>
      <c r="J100" s="111">
        <f>+IF(J$2=$E100,$D100,IF(J$2&gt;J$257,0,IF($C100=J$2,"PAGAR"&amp;" "&amp;TEXT($B100," #.##0,00"),0)))</f>
        <v>0</v>
      </c>
      <c r="K100" s="111">
        <f>+IF(K$2=$E100,$D100,IF(K$2&gt;K$257,0,IF($C100=K$2,"PAGAR"&amp;" "&amp;TEXT($B100," #.##0,00"),0)))</f>
        <v>0</v>
      </c>
      <c r="L100" s="111">
        <f>+IF(L$2=$E100,$D100,IF(L$2&gt;L$257,0,IF($C100=L$2,"PAGAR"&amp;" "&amp;TEXT($B100," #.##0,00"),0)))</f>
        <v>0</v>
      </c>
      <c r="M100" s="111">
        <f>+IF(M$2=$E100,$D100,IF(M$2&gt;M$257,0,IF($C100=M$2,"PAGAR"&amp;" "&amp;TEXT($B100," #.##0,00"),0)))</f>
        <v>0</v>
      </c>
      <c r="N100" s="111">
        <f>+IF(N$2=$E100,$D100,IF(N$2&gt;N$257,0,IF($C100=N$2,"PAGAR"&amp;" "&amp;TEXT($B100," #.##0,00"),0)))</f>
        <v>0</v>
      </c>
      <c r="O100" s="111">
        <f>+IF(O$2=$E100,$D100,IF(O$2&gt;O$257,0,IF($C100=O$2,"PAGAR"&amp;" "&amp;TEXT($B100," #.##0,00"),0)))</f>
        <v>0</v>
      </c>
      <c r="P100" s="111" t="str">
        <f>+IF(P$2=$E100,$D100,IF(P$2&gt;P$257,0,IF($C100=P$2,"PAGAR"&amp;" "&amp;TEXT($B100," #.##0,00"),0)))</f>
        <v>PAGAR  10.606,05</v>
      </c>
      <c r="Q100" s="111">
        <f>+IF(Q$2=$E100,$D100,IF(Q$2&gt;Q$257,0,IF($C100=Q$2,"PAGAR"&amp;" "&amp;TEXT($B100," #.##0,00"),0)))</f>
        <v>0</v>
      </c>
      <c r="R100" s="111">
        <f>+IF(R$2=$E100,$D100,IF(R$2&gt;R$257,0,IF($C100=R$2,"PAGAR"&amp;" "&amp;TEXT($B100," #.##0,00"),0)))</f>
        <v>0</v>
      </c>
      <c r="S100" s="111">
        <f>+IF(S$2=$E100,$D100,IF(S$2&gt;S$257,0,IF($C100=S$2,"PAGAR"&amp;" "&amp;TEXT($B100," #.##0,00"),0)))</f>
        <v>0</v>
      </c>
      <c r="T100" s="111">
        <f>+IF(T$2=$E100,$D100,IF(T$2&gt;T$257,0,IF($C100=T$2,"PAGAR"&amp;" "&amp;TEXT($B100," #.##0,00"),0)))</f>
        <v>0</v>
      </c>
      <c r="U100" s="111">
        <f>+IF(U$2=$E100,$D100,IF(U$2&gt;U$257,0,IF($C100=U$2,"PAGAR"&amp;" "&amp;TEXT($B100," #.##0,00"),0)))</f>
        <v>0</v>
      </c>
      <c r="V100" s="111">
        <f>+IF(V$2=$E100,$D100,IF(V$2&gt;V$257,0,IF($C100=V$2,"PAGAR"&amp;" "&amp;TEXT($B100," #.##0,00"),0)))</f>
        <v>0</v>
      </c>
      <c r="W100" s="111">
        <f>+IF(W$2=$E100,$D100,IF(W$2&gt;W$257,0,IF($C100=W$2,"PAGAR"&amp;" "&amp;TEXT($B100," #.##0,00"),0)))</f>
        <v>0</v>
      </c>
      <c r="X100" s="111">
        <f>+IF(X$2=$E100,$D100,IF(X$2&gt;X$257,0,IF($C100=X$2,"PAGAR"&amp;" "&amp;TEXT($B100," #.##0,00"),0)))</f>
        <v>0</v>
      </c>
      <c r="Y100" s="111">
        <f>+IF(Y$2=$E100,$D100,IF(Y$2&gt;Y$257,0,IF($C100=Y$2,"PAGAR"&amp;" "&amp;TEXT($B100," #.##0,00"),0)))</f>
        <v>0</v>
      </c>
      <c r="Z100" s="111">
        <f>+IF(Z$2=$E100,$D100,IF(Z$2&gt;Z$257,0,IF($C100=Z$2,"PAGAR"&amp;" "&amp;TEXT($B100," #.##0,00"),0)))</f>
        <v>0</v>
      </c>
      <c r="AA100" s="111">
        <f>+IF(AA$2=$E100,$D100,IF(AA$2&gt;AA$257,0,IF($C100=AA$2,"PAGAR"&amp;" "&amp;TEXT($B100," #.##0,00"),0)))</f>
        <v>0</v>
      </c>
      <c r="AB100" s="111">
        <f>+IF(AB$2=$E100,$D100,IF(AB$2&gt;AB$257,0,IF($C100=AB$2,"PAGAR"&amp;" "&amp;TEXT($B100," #.##0,00"),0)))</f>
        <v>0</v>
      </c>
      <c r="AC100" s="111">
        <f>+IF(AC$2=$E100,$D100,IF(AC$2&gt;AC$257,0,IF($C100=AC$2,"PAGAR"&amp;" "&amp;TEXT($B100," #.##0,00"),0)))</f>
        <v>0</v>
      </c>
      <c r="AD100" s="111">
        <f>+IF(AD$2=$E100,$D100,IF(AD$2&gt;AD$257,0,IF($C100=AD$2,"PAGAR"&amp;" "&amp;TEXT($B100," #.##0,00"),0)))</f>
        <v>0</v>
      </c>
      <c r="AE100" s="111">
        <f>+IF(AE$2=$E100,$D100,IF(AE$2&gt;AE$257,0,IF($C100=AE$2,"PAGAR"&amp;" "&amp;TEXT($B100," #.##0,00"),0)))</f>
        <v>0</v>
      </c>
      <c r="AF100" s="111">
        <f>+IF(AF$2=$E100,$D100,IF(AF$2&gt;AF$257,0,IF($C100=AF$2,"PAGAR"&amp;" "&amp;TEXT($B100," #.##0,00"),0)))</f>
        <v>0</v>
      </c>
      <c r="AG100" s="111">
        <f>+IF(AG$2=$E100,$D100,IF(AG$2&gt;AG$257,0,IF($C100=AG$2,"PAGAR"&amp;" "&amp;TEXT($B100," #.##0,00"),0)))</f>
        <v>0</v>
      </c>
      <c r="AH100" s="111">
        <f>+IF(AH$2=$E100,$D100,IF(AH$2&gt;AH$257,0,IF($C100=AH$2,"PAGAR"&amp;" "&amp;TEXT($B100," #.##0,00"),0)))</f>
        <v>0</v>
      </c>
      <c r="AI100" s="111">
        <f>+IF(AI$2=$E100,$D100,IF(AI$2&gt;AI$257,0,IF($C100=AI$2,"PAGAR"&amp;" "&amp;TEXT($B100," #.##0,00"),0)))</f>
        <v>0</v>
      </c>
      <c r="AJ100" s="111">
        <f>+IF(AJ$2=$E100,$D100,IF(AJ$2&gt;AJ$257,0,IF($C100=AJ$2,"PAGAR"&amp;" "&amp;TEXT($B100," #.##0,00"),0)))</f>
        <v>0</v>
      </c>
      <c r="AK100" s="111">
        <f>+IF(AK$2=$E100,$D100,IF(AK$2&gt;AK$257,0,IF($C100=AK$2,"PAGAR"&amp;" "&amp;TEXT($B100," #.##0,00"),0)))</f>
        <v>0</v>
      </c>
      <c r="AL100" s="111">
        <f>+IF(AL$2=$E100,$D100,IF(AL$2&gt;AL$257,0,IF($C100=AL$2,"PAGAR"&amp;" "&amp;TEXT($B100," #.##0,00"),0)))</f>
        <v>0</v>
      </c>
      <c r="AM100" s="111">
        <f>+IF(AM$2=$E100,$D100,IF(AM$2&gt;AM$257,0,IF($C100=AM$2,"PAGAR"&amp;" "&amp;TEXT($B100," #.##0,00"),0)))</f>
        <v>0</v>
      </c>
      <c r="AN100" s="111">
        <f t="shared" ref="AN100:AN103" ca="1" si="19">+IF(F100&lt;0,-F100,0)</f>
        <v>0</v>
      </c>
      <c r="AO100" s="287">
        <f t="shared" ref="AO100:AO103" si="20">+IF(AND(C100=0,B100&gt;0),B100,0)</f>
        <v>0</v>
      </c>
    </row>
    <row r="101" spans="1:41" x14ac:dyDescent="0.25">
      <c r="A101" s="212" t="s">
        <v>167</v>
      </c>
      <c r="B101" s="90">
        <v>3030.3</v>
      </c>
      <c r="C101" s="91">
        <v>11</v>
      </c>
      <c r="D101" s="97"/>
      <c r="E101" s="166"/>
      <c r="F101" s="84">
        <f ca="1">+IF(TODAY()&lt;DATEVALUE(1&amp;D$1&amp;E$1),0,IF(C101&gt;0,IF(C101-SUM(I$255:AM$255)&lt;0,B101-SUM(I101:AM101,0),0),0))+IF(C101=-1,B101-SUM(J101:AM101))</f>
        <v>3030.3</v>
      </c>
      <c r="G101" s="1">
        <f>+IF(B101=0,"-",D101/B101)</f>
        <v>0</v>
      </c>
      <c r="H101" s="14"/>
      <c r="I101" s="111">
        <f>IF(I$2=$E101,$D101,IF(I$2&gt;I$257,0,IF($C101=I$2,"PAGAR"&amp;" "&amp;TEXT($B101," #.##0,00"),IF($C101=-1,"PAGAR"&amp;" "&amp;TEXT($B101," #.##0,00"),0))))</f>
        <v>0</v>
      </c>
      <c r="J101" s="111">
        <f>+IF(J$2=$E101,$D101,IF(J$2&gt;J$257,0,IF($C101=J$2,"PAGAR"&amp;" "&amp;TEXT($B101," #.##0,00"),0)))</f>
        <v>0</v>
      </c>
      <c r="K101" s="111">
        <f>+IF(K$2=$E101,$D101,IF(K$2&gt;K$257,0,IF($C101=K$2,"PAGAR"&amp;" "&amp;TEXT($B101," #.##0,00"),0)))</f>
        <v>0</v>
      </c>
      <c r="L101" s="111">
        <f>+IF(L$2=$E101,$D101,IF(L$2&gt;L$257,0,IF($C101=L$2,"PAGAR"&amp;" "&amp;TEXT($B101," #.##0,00"),0)))</f>
        <v>0</v>
      </c>
      <c r="M101" s="111">
        <f>+IF(M$2=$E101,$D101,IF(M$2&gt;M$257,0,IF($C101=M$2,"PAGAR"&amp;" "&amp;TEXT($B101," #.##0,00"),0)))</f>
        <v>0</v>
      </c>
      <c r="N101" s="111">
        <f>+IF(N$2=$E101,$D101,IF(N$2&gt;N$257,0,IF($C101=N$2,"PAGAR"&amp;" "&amp;TEXT($B101," #.##0,00"),0)))</f>
        <v>0</v>
      </c>
      <c r="O101" s="111">
        <f>+IF(O$2=$E101,$D101,IF(O$2&gt;O$257,0,IF($C101=O$2,"PAGAR"&amp;" "&amp;TEXT($B101," #.##0,00"),0)))</f>
        <v>0</v>
      </c>
      <c r="P101" s="111">
        <f>+IF(P$2=$E101,$D101,IF(P$2&gt;P$257,0,IF($C101=P$2,"PAGAR"&amp;" "&amp;TEXT($B101," #.##0,00"),0)))</f>
        <v>0</v>
      </c>
      <c r="Q101" s="111">
        <f>+IF(Q$2=$E101,$D101,IF(Q$2&gt;Q$257,0,IF($C101=Q$2,"PAGAR"&amp;" "&amp;TEXT($B101," #.##0,00"),0)))</f>
        <v>0</v>
      </c>
      <c r="R101" s="111">
        <f>+IF(R$2=$E101,$D101,IF(R$2&gt;R$257,0,IF($C101=R$2,"PAGAR"&amp;" "&amp;TEXT($B101," #.##0,00"),0)))</f>
        <v>0</v>
      </c>
      <c r="S101" s="111" t="str">
        <f>+IF(S$2=$E101,$D101,IF(S$2&gt;S$257,0,IF($C101=S$2,"PAGAR"&amp;" "&amp;TEXT($B101," #.##0,00"),0)))</f>
        <v>PAGAR  3.030,30</v>
      </c>
      <c r="T101" s="111">
        <f>+IF(T$2=$E101,$D101,IF(T$2&gt;T$257,0,IF($C101=T$2,"PAGAR"&amp;" "&amp;TEXT($B101," #.##0,00"),0)))</f>
        <v>0</v>
      </c>
      <c r="U101" s="111">
        <f>+IF(U$2=$E101,$D101,IF(U$2&gt;U$257,0,IF($C101=U$2,"PAGAR"&amp;" "&amp;TEXT($B101," #.##0,00"),0)))</f>
        <v>0</v>
      </c>
      <c r="V101" s="111">
        <f>+IF(V$2=$E101,$D101,IF(V$2&gt;V$257,0,IF($C101=V$2,"PAGAR"&amp;" "&amp;TEXT($B101," #.##0,00"),0)))</f>
        <v>0</v>
      </c>
      <c r="W101" s="111">
        <f>+IF(W$2=$E101,$D101,IF(W$2&gt;W$257,0,IF($C101=W$2,"PAGAR"&amp;" "&amp;TEXT($B101," #.##0,00"),0)))</f>
        <v>0</v>
      </c>
      <c r="X101" s="111">
        <f>+IF(X$2=$E101,$D101,IF(X$2&gt;X$257,0,IF($C101=X$2,"PAGAR"&amp;" "&amp;TEXT($B101," #.##0,00"),0)))</f>
        <v>0</v>
      </c>
      <c r="Y101" s="111">
        <f>+IF(Y$2=$E101,$D101,IF(Y$2&gt;Y$257,0,IF($C101=Y$2,"PAGAR"&amp;" "&amp;TEXT($B101," #.##0,00"),0)))</f>
        <v>0</v>
      </c>
      <c r="Z101" s="111">
        <f>+IF(Z$2=$E101,$D101,IF(Z$2&gt;Z$257,0,IF($C101=Z$2,"PAGAR"&amp;" "&amp;TEXT($B101," #.##0,00"),0)))</f>
        <v>0</v>
      </c>
      <c r="AA101" s="111">
        <f>+IF(AA$2=$E101,$D101,IF(AA$2&gt;AA$257,0,IF($C101=AA$2,"PAGAR"&amp;" "&amp;TEXT($B101," #.##0,00"),0)))</f>
        <v>0</v>
      </c>
      <c r="AB101" s="111">
        <f>+IF(AB$2=$E101,$D101,IF(AB$2&gt;AB$257,0,IF($C101=AB$2,"PAGAR"&amp;" "&amp;TEXT($B101," #.##0,00"),0)))</f>
        <v>0</v>
      </c>
      <c r="AC101" s="111">
        <f>+IF(AC$2=$E101,$D101,IF(AC$2&gt;AC$257,0,IF($C101=AC$2,"PAGAR"&amp;" "&amp;TEXT($B101," #.##0,00"),0)))</f>
        <v>0</v>
      </c>
      <c r="AD101" s="111">
        <f>+IF(AD$2=$E101,$D101,IF(AD$2&gt;AD$257,0,IF($C101=AD$2,"PAGAR"&amp;" "&amp;TEXT($B101," #.##0,00"),0)))</f>
        <v>0</v>
      </c>
      <c r="AE101" s="111">
        <f>+IF(AE$2=$E101,$D101,IF(AE$2&gt;AE$257,0,IF($C101=AE$2,"PAGAR"&amp;" "&amp;TEXT($B101," #.##0,00"),0)))</f>
        <v>0</v>
      </c>
      <c r="AF101" s="111">
        <f>+IF(AF$2=$E101,$D101,IF(AF$2&gt;AF$257,0,IF($C101=AF$2,"PAGAR"&amp;" "&amp;TEXT($B101," #.##0,00"),0)))</f>
        <v>0</v>
      </c>
      <c r="AG101" s="111">
        <f>+IF(AG$2=$E101,$D101,IF(AG$2&gt;AG$257,0,IF($C101=AG$2,"PAGAR"&amp;" "&amp;TEXT($B101," #.##0,00"),0)))</f>
        <v>0</v>
      </c>
      <c r="AH101" s="111">
        <f>+IF(AH$2=$E101,$D101,IF(AH$2&gt;AH$257,0,IF($C101=AH$2,"PAGAR"&amp;" "&amp;TEXT($B101," #.##0,00"),0)))</f>
        <v>0</v>
      </c>
      <c r="AI101" s="111">
        <f>+IF(AI$2=$E101,$D101,IF(AI$2&gt;AI$257,0,IF($C101=AI$2,"PAGAR"&amp;" "&amp;TEXT($B101," #.##0,00"),0)))</f>
        <v>0</v>
      </c>
      <c r="AJ101" s="111">
        <f>+IF(AJ$2=$E101,$D101,IF(AJ$2&gt;AJ$257,0,IF($C101=AJ$2,"PAGAR"&amp;" "&amp;TEXT($B101," #.##0,00"),0)))</f>
        <v>0</v>
      </c>
      <c r="AK101" s="111">
        <f>+IF(AK$2=$E101,$D101,IF(AK$2&gt;AK$257,0,IF($C101=AK$2,"PAGAR"&amp;" "&amp;TEXT($B101," #.##0,00"),0)))</f>
        <v>0</v>
      </c>
      <c r="AL101" s="111">
        <f>+IF(AL$2=$E101,$D101,IF(AL$2&gt;AL$257,0,IF($C101=AL$2,"PAGAR"&amp;" "&amp;TEXT($B101," #.##0,00"),0)))</f>
        <v>0</v>
      </c>
      <c r="AM101" s="111">
        <f>+IF(AM$2=$E101,$D101,IF(AM$2&gt;AM$257,0,IF($C101=AM$2,"PAGAR"&amp;" "&amp;TEXT($B101," #.##0,00"),0)))</f>
        <v>0</v>
      </c>
      <c r="AN101" s="111">
        <f t="shared" ca="1" si="19"/>
        <v>0</v>
      </c>
      <c r="AO101" s="287">
        <f t="shared" si="20"/>
        <v>0</v>
      </c>
    </row>
    <row r="102" spans="1:41" x14ac:dyDescent="0.25">
      <c r="A102" s="212"/>
      <c r="B102" s="90"/>
      <c r="C102" s="91"/>
      <c r="D102" s="97"/>
      <c r="E102" s="166"/>
      <c r="F102" s="84">
        <f ca="1">+IF(TODAY()&lt;DATEVALUE(1&amp;D$1&amp;E$1),0,IF(C102&gt;0,IF(C102-SUM(I$255:AM$255)&lt;0,B102-SUM(I102:AM102,0),0),0))+IF(C102=-1,B102-SUM(J102:AM102))</f>
        <v>0</v>
      </c>
      <c r="G102" s="1" t="str">
        <f>+IF(B102=0,"-",D102/B102)</f>
        <v>-</v>
      </c>
      <c r="H102" s="14"/>
      <c r="I102" s="111">
        <f>IF(I$2=$E102,$D102,IF(I$2&gt;I$257,0,IF($C102=I$2,"PAGAR"&amp;" "&amp;TEXT($B102," #.##0,00"),IF($C102=-1,"PAGAR"&amp;" "&amp;TEXT($B102," #.##0,00"),0))))</f>
        <v>0</v>
      </c>
      <c r="J102" s="111">
        <f>+IF(J$2=$E102,$D102,IF(J$2&gt;J$257,0,IF($C102=J$2,"PAGAR"&amp;" "&amp;TEXT($B102," #.##0,00"),0)))</f>
        <v>0</v>
      </c>
      <c r="K102" s="111">
        <f>+IF(K$2=$E102,$D102,IF(K$2&gt;K$257,0,IF($C102=K$2,"PAGAR"&amp;" "&amp;TEXT($B102," #.##0,00"),0)))</f>
        <v>0</v>
      </c>
      <c r="L102" s="111">
        <f>+IF(L$2=$E102,$D102,IF(L$2&gt;L$257,0,IF($C102=L$2,"PAGAR"&amp;" "&amp;TEXT($B102," #.##0,00"),0)))</f>
        <v>0</v>
      </c>
      <c r="M102" s="111">
        <f>+IF(M$2=$E102,$D102,IF(M$2&gt;M$257,0,IF($C102=M$2,"PAGAR"&amp;" "&amp;TEXT($B102," #.##0,00"),0)))</f>
        <v>0</v>
      </c>
      <c r="N102" s="111">
        <f>+IF(N$2=$E102,$D102,IF(N$2&gt;N$257,0,IF($C102=N$2,"PAGAR"&amp;" "&amp;TEXT($B102," #.##0,00"),0)))</f>
        <v>0</v>
      </c>
      <c r="O102" s="111">
        <f>+IF(O$2=$E102,$D102,IF(O$2&gt;O$257,0,IF($C102=O$2,"PAGAR"&amp;" "&amp;TEXT($B102," #.##0,00"),0)))</f>
        <v>0</v>
      </c>
      <c r="P102" s="111">
        <f>+IF(P$2=$E102,$D102,IF(P$2&gt;P$257,0,IF($C102=P$2,"PAGAR"&amp;" "&amp;TEXT($B102," #.##0,00"),0)))</f>
        <v>0</v>
      </c>
      <c r="Q102" s="111">
        <f>+IF(Q$2=$E102,$D102,IF(Q$2&gt;Q$257,0,IF($C102=Q$2,"PAGAR"&amp;" "&amp;TEXT($B102," #.##0,00"),0)))</f>
        <v>0</v>
      </c>
      <c r="R102" s="111">
        <f>+IF(R$2=$E102,$D102,IF(R$2&gt;R$257,0,IF($C102=R$2,"PAGAR"&amp;" "&amp;TEXT($B102," #.##0,00"),0)))</f>
        <v>0</v>
      </c>
      <c r="S102" s="111">
        <f>+IF(S$2=$E102,$D102,IF(S$2&gt;S$257,0,IF($C102=S$2,"PAGAR"&amp;" "&amp;TEXT($B102," #.##0,00"),0)))</f>
        <v>0</v>
      </c>
      <c r="T102" s="111">
        <f>+IF(T$2=$E102,$D102,IF(T$2&gt;T$257,0,IF($C102=T$2,"PAGAR"&amp;" "&amp;TEXT($B102," #.##0,00"),0)))</f>
        <v>0</v>
      </c>
      <c r="U102" s="111">
        <f>+IF(U$2=$E102,$D102,IF(U$2&gt;U$257,0,IF($C102=U$2,"PAGAR"&amp;" "&amp;TEXT($B102," #.##0,00"),0)))</f>
        <v>0</v>
      </c>
      <c r="V102" s="111">
        <f>+IF(V$2=$E102,$D102,IF(V$2&gt;V$257,0,IF($C102=V$2,"PAGAR"&amp;" "&amp;TEXT($B102," #.##0,00"),0)))</f>
        <v>0</v>
      </c>
      <c r="W102" s="111">
        <f>+IF(W$2=$E102,$D102,IF(W$2&gt;W$257,0,IF($C102=W$2,"PAGAR"&amp;" "&amp;TEXT($B102," #.##0,00"),0)))</f>
        <v>0</v>
      </c>
      <c r="X102" s="111">
        <f>+IF(X$2=$E102,$D102,IF(X$2&gt;X$257,0,IF($C102=X$2,"PAGAR"&amp;" "&amp;TEXT($B102," #.##0,00"),0)))</f>
        <v>0</v>
      </c>
      <c r="Y102" s="111">
        <f>+IF(Y$2=$E102,$D102,IF(Y$2&gt;Y$257,0,IF($C102=Y$2,"PAGAR"&amp;" "&amp;TEXT($B102," #.##0,00"),0)))</f>
        <v>0</v>
      </c>
      <c r="Z102" s="111">
        <f>+IF(Z$2=$E102,$D102,IF(Z$2&gt;Z$257,0,IF($C102=Z$2,"PAGAR"&amp;" "&amp;TEXT($B102," #.##0,00"),0)))</f>
        <v>0</v>
      </c>
      <c r="AA102" s="111">
        <f>+IF(AA$2=$E102,$D102,IF(AA$2&gt;AA$257,0,IF($C102=AA$2,"PAGAR"&amp;" "&amp;TEXT($B102," #.##0,00"),0)))</f>
        <v>0</v>
      </c>
      <c r="AB102" s="111">
        <f>+IF(AB$2=$E102,$D102,IF(AB$2&gt;AB$257,0,IF($C102=AB$2,"PAGAR"&amp;" "&amp;TEXT($B102," #.##0,00"),0)))</f>
        <v>0</v>
      </c>
      <c r="AC102" s="111">
        <f>+IF(AC$2=$E102,$D102,IF(AC$2&gt;AC$257,0,IF($C102=AC$2,"PAGAR"&amp;" "&amp;TEXT($B102," #.##0,00"),0)))</f>
        <v>0</v>
      </c>
      <c r="AD102" s="111">
        <f>+IF(AD$2=$E102,$D102,IF(AD$2&gt;AD$257,0,IF($C102=AD$2,"PAGAR"&amp;" "&amp;TEXT($B102," #.##0,00"),0)))</f>
        <v>0</v>
      </c>
      <c r="AE102" s="111">
        <f>+IF(AE$2=$E102,$D102,IF(AE$2&gt;AE$257,0,IF($C102=AE$2,"PAGAR"&amp;" "&amp;TEXT($B102," #.##0,00"),0)))</f>
        <v>0</v>
      </c>
      <c r="AF102" s="111">
        <f>+IF(AF$2=$E102,$D102,IF(AF$2&gt;AF$257,0,IF($C102=AF$2,"PAGAR"&amp;" "&amp;TEXT($B102," #.##0,00"),0)))</f>
        <v>0</v>
      </c>
      <c r="AG102" s="111">
        <f>+IF(AG$2=$E102,$D102,IF(AG$2&gt;AG$257,0,IF($C102=AG$2,"PAGAR"&amp;" "&amp;TEXT($B102," #.##0,00"),0)))</f>
        <v>0</v>
      </c>
      <c r="AH102" s="111">
        <f>+IF(AH$2=$E102,$D102,IF(AH$2&gt;AH$257,0,IF($C102=AH$2,"PAGAR"&amp;" "&amp;TEXT($B102," #.##0,00"),0)))</f>
        <v>0</v>
      </c>
      <c r="AI102" s="111">
        <f>+IF(AI$2=$E102,$D102,IF(AI$2&gt;AI$257,0,IF($C102=AI$2,"PAGAR"&amp;" "&amp;TEXT($B102," #.##0,00"),0)))</f>
        <v>0</v>
      </c>
      <c r="AJ102" s="111">
        <f>+IF(AJ$2=$E102,$D102,IF(AJ$2&gt;AJ$257,0,IF($C102=AJ$2,"PAGAR"&amp;" "&amp;TEXT($B102," #.##0,00"),0)))</f>
        <v>0</v>
      </c>
      <c r="AK102" s="111">
        <f>+IF(AK$2=$E102,$D102,IF(AK$2&gt;AK$257,0,IF($C102=AK$2,"PAGAR"&amp;" "&amp;TEXT($B102," #.##0,00"),0)))</f>
        <v>0</v>
      </c>
      <c r="AL102" s="111">
        <f>+IF(AL$2=$E102,$D102,IF(AL$2&gt;AL$257,0,IF($C102=AL$2,"PAGAR"&amp;" "&amp;TEXT($B102," #.##0,00"),0)))</f>
        <v>0</v>
      </c>
      <c r="AM102" s="111">
        <f>+IF(AM$2=$E102,$D102,IF(AM$2&gt;AM$257,0,IF($C102=AM$2,"PAGAR"&amp;" "&amp;TEXT($B102," #.##0,00"),0)))</f>
        <v>0</v>
      </c>
      <c r="AN102" s="111">
        <f t="shared" ca="1" si="19"/>
        <v>0</v>
      </c>
      <c r="AO102" s="287">
        <f t="shared" si="20"/>
        <v>0</v>
      </c>
    </row>
    <row r="103" spans="1:41" x14ac:dyDescent="0.25">
      <c r="A103" s="212"/>
      <c r="B103" s="90"/>
      <c r="C103" s="91"/>
      <c r="D103" s="97"/>
      <c r="E103" s="166"/>
      <c r="F103" s="84">
        <f ca="1">+IF(TODAY()&lt;DATEVALUE(1&amp;D$1&amp;E$1),0,IF(C103&gt;0,IF(C103-SUM(I$255:AM$255)&lt;0,B103-SUM(I103:AM103,0),0),0))+IF(C103=-1,B103-SUM(J103:AM103))</f>
        <v>0</v>
      </c>
      <c r="G103" s="1" t="str">
        <f>+IF(B103=0,"-",D103/B103)</f>
        <v>-</v>
      </c>
      <c r="H103" s="14"/>
      <c r="I103" s="111">
        <f>IF(I$2=$E103,$D103,IF(I$2&gt;I$257,0,IF($C103=I$2,"PAGAR"&amp;" "&amp;TEXT($B103," #.##0,00"),IF($C103=-1,"PAGAR"&amp;" "&amp;TEXT($B103," #.##0,00"),0))))</f>
        <v>0</v>
      </c>
      <c r="J103" s="111">
        <f>+IF(J$2=$E103,$D103,IF(J$2&gt;J$257,0,IF($C103=J$2,"PAGAR"&amp;" "&amp;TEXT($B103," #.##0,00"),0)))</f>
        <v>0</v>
      </c>
      <c r="K103" s="111">
        <f>+IF(K$2=$E103,$D103,IF(K$2&gt;K$257,0,IF($C103=K$2,"PAGAR"&amp;" "&amp;TEXT($B103," #.##0,00"),0)))</f>
        <v>0</v>
      </c>
      <c r="L103" s="111">
        <f>+IF(L$2=$E103,$D103,IF(L$2&gt;L$257,0,IF($C103=L$2,"PAGAR"&amp;" "&amp;TEXT($B103," #.##0,00"),0)))</f>
        <v>0</v>
      </c>
      <c r="M103" s="111">
        <f>+IF(M$2=$E103,$D103,IF(M$2&gt;M$257,0,IF($C103=M$2,"PAGAR"&amp;" "&amp;TEXT($B103," #.##0,00"),0)))</f>
        <v>0</v>
      </c>
      <c r="N103" s="111">
        <f>+IF(N$2=$E103,$D103,IF(N$2&gt;N$257,0,IF($C103=N$2,"PAGAR"&amp;" "&amp;TEXT($B103," #.##0,00"),0)))</f>
        <v>0</v>
      </c>
      <c r="O103" s="111">
        <f>+IF(O$2=$E103,$D103,IF(O$2&gt;O$257,0,IF($C103=O$2,"PAGAR"&amp;" "&amp;TEXT($B103," #.##0,00"),0)))</f>
        <v>0</v>
      </c>
      <c r="P103" s="111">
        <f>+IF(P$2=$E103,$D103,IF(P$2&gt;P$257,0,IF($C103=P$2,"PAGAR"&amp;" "&amp;TEXT($B103," #.##0,00"),0)))</f>
        <v>0</v>
      </c>
      <c r="Q103" s="111">
        <f>+IF(Q$2=$E103,$D103,IF(Q$2&gt;Q$257,0,IF($C103=Q$2,"PAGAR"&amp;" "&amp;TEXT($B103," #.##0,00"),0)))</f>
        <v>0</v>
      </c>
      <c r="R103" s="111">
        <f>+IF(R$2=$E103,$D103,IF(R$2&gt;R$257,0,IF($C103=R$2,"PAGAR"&amp;" "&amp;TEXT($B103," #.##0,00"),0)))</f>
        <v>0</v>
      </c>
      <c r="S103" s="111">
        <f>+IF(S$2=$E103,$D103,IF(S$2&gt;S$257,0,IF($C103=S$2,"PAGAR"&amp;" "&amp;TEXT($B103," #.##0,00"),0)))</f>
        <v>0</v>
      </c>
      <c r="T103" s="111">
        <f>+IF(T$2=$E103,$D103,IF(T$2&gt;T$257,0,IF($C103=T$2,"PAGAR"&amp;" "&amp;TEXT($B103," #.##0,00"),0)))</f>
        <v>0</v>
      </c>
      <c r="U103" s="111">
        <f>+IF(U$2=$E103,$D103,IF(U$2&gt;U$257,0,IF($C103=U$2,"PAGAR"&amp;" "&amp;TEXT($B103," #.##0,00"),0)))</f>
        <v>0</v>
      </c>
      <c r="V103" s="111">
        <f>+IF(V$2=$E103,$D103,IF(V$2&gt;V$257,0,IF($C103=V$2,"PAGAR"&amp;" "&amp;TEXT($B103," #.##0,00"),0)))</f>
        <v>0</v>
      </c>
      <c r="W103" s="111">
        <f>+IF(W$2=$E103,$D103,IF(W$2&gt;W$257,0,IF($C103=W$2,"PAGAR"&amp;" "&amp;TEXT($B103," #.##0,00"),0)))</f>
        <v>0</v>
      </c>
      <c r="X103" s="111">
        <f>+IF(X$2=$E103,$D103,IF(X$2&gt;X$257,0,IF($C103=X$2,"PAGAR"&amp;" "&amp;TEXT($B103," #.##0,00"),0)))</f>
        <v>0</v>
      </c>
      <c r="Y103" s="111">
        <f>+IF(Y$2=$E103,$D103,IF(Y$2&gt;Y$257,0,IF($C103=Y$2,"PAGAR"&amp;" "&amp;TEXT($B103," #.##0,00"),0)))</f>
        <v>0</v>
      </c>
      <c r="Z103" s="111">
        <f>+IF(Z$2=$E103,$D103,IF(Z$2&gt;Z$257,0,IF($C103=Z$2,"PAGAR"&amp;" "&amp;TEXT($B103," #.##0,00"),0)))</f>
        <v>0</v>
      </c>
      <c r="AA103" s="111">
        <f>+IF(AA$2=$E103,$D103,IF(AA$2&gt;AA$257,0,IF($C103=AA$2,"PAGAR"&amp;" "&amp;TEXT($B103," #.##0,00"),0)))</f>
        <v>0</v>
      </c>
      <c r="AB103" s="111">
        <f>+IF(AB$2=$E103,$D103,IF(AB$2&gt;AB$257,0,IF($C103=AB$2,"PAGAR"&amp;" "&amp;TEXT($B103," #.##0,00"),0)))</f>
        <v>0</v>
      </c>
      <c r="AC103" s="111">
        <f>+IF(AC$2=$E103,$D103,IF(AC$2&gt;AC$257,0,IF($C103=AC$2,"PAGAR"&amp;" "&amp;TEXT($B103," #.##0,00"),0)))</f>
        <v>0</v>
      </c>
      <c r="AD103" s="111">
        <f>+IF(AD$2=$E103,$D103,IF(AD$2&gt;AD$257,0,IF($C103=AD$2,"PAGAR"&amp;" "&amp;TEXT($B103," #.##0,00"),0)))</f>
        <v>0</v>
      </c>
      <c r="AE103" s="111">
        <f>+IF(AE$2=$E103,$D103,IF(AE$2&gt;AE$257,0,IF($C103=AE$2,"PAGAR"&amp;" "&amp;TEXT($B103," #.##0,00"),0)))</f>
        <v>0</v>
      </c>
      <c r="AF103" s="111">
        <f>+IF(AF$2=$E103,$D103,IF(AF$2&gt;AF$257,0,IF($C103=AF$2,"PAGAR"&amp;" "&amp;TEXT($B103," #.##0,00"),0)))</f>
        <v>0</v>
      </c>
      <c r="AG103" s="111">
        <f>+IF(AG$2=$E103,$D103,IF(AG$2&gt;AG$257,0,IF($C103=AG$2,"PAGAR"&amp;" "&amp;TEXT($B103," #.##0,00"),0)))</f>
        <v>0</v>
      </c>
      <c r="AH103" s="111">
        <f>+IF(AH$2=$E103,$D103,IF(AH$2&gt;AH$257,0,IF($C103=AH$2,"PAGAR"&amp;" "&amp;TEXT($B103," #.##0,00"),0)))</f>
        <v>0</v>
      </c>
      <c r="AI103" s="111">
        <f>+IF(AI$2=$E103,$D103,IF(AI$2&gt;AI$257,0,IF($C103=AI$2,"PAGAR"&amp;" "&amp;TEXT($B103," #.##0,00"),0)))</f>
        <v>0</v>
      </c>
      <c r="AJ103" s="111">
        <f>+IF(AJ$2=$E103,$D103,IF(AJ$2&gt;AJ$257,0,IF($C103=AJ$2,"PAGAR"&amp;" "&amp;TEXT($B103," #.##0,00"),0)))</f>
        <v>0</v>
      </c>
      <c r="AK103" s="111">
        <f>+IF(AK$2=$E103,$D103,IF(AK$2&gt;AK$257,0,IF($C103=AK$2,"PAGAR"&amp;" "&amp;TEXT($B103," #.##0,00"),0)))</f>
        <v>0</v>
      </c>
      <c r="AL103" s="111">
        <f>+IF(AL$2=$E103,$D103,IF(AL$2&gt;AL$257,0,IF($C103=AL$2,"PAGAR"&amp;" "&amp;TEXT($B103," #.##0,00"),0)))</f>
        <v>0</v>
      </c>
      <c r="AM103" s="111">
        <f>+IF(AM$2=$E103,$D103,IF(AM$2&gt;AM$257,0,IF($C103=AM$2,"PAGAR"&amp;" "&amp;TEXT($B103," #.##0,00"),0)))</f>
        <v>0</v>
      </c>
      <c r="AN103" s="111">
        <f t="shared" ca="1" si="19"/>
        <v>0</v>
      </c>
      <c r="AO103" s="287">
        <f t="shared" si="20"/>
        <v>0</v>
      </c>
    </row>
    <row r="104" spans="1:41" ht="15.75" x14ac:dyDescent="0.25">
      <c r="A104" s="112" t="s">
        <v>76</v>
      </c>
      <c r="B104" s="6">
        <f>+SUM(B100:B103)</f>
        <v>13636.349999999999</v>
      </c>
      <c r="C104" s="81"/>
      <c r="D104" s="6">
        <f>+SUM(D100:D103)</f>
        <v>0</v>
      </c>
      <c r="E104" s="81"/>
      <c r="F104" s="195">
        <f ca="1">+SUM(F100:F103)</f>
        <v>13636.349999999999</v>
      </c>
      <c r="G104" s="3">
        <f>+IF(B104=0,"-",D104/B104)</f>
        <v>0</v>
      </c>
      <c r="H104" s="5"/>
      <c r="I104" s="2">
        <f>+PLAN2!H105</f>
        <v>0</v>
      </c>
      <c r="J104" s="2">
        <f>+PLAN2!I105</f>
        <v>0</v>
      </c>
      <c r="K104" s="2">
        <f>+PLAN2!J105</f>
        <v>0</v>
      </c>
      <c r="L104" s="2">
        <f>+PLAN2!K105</f>
        <v>0</v>
      </c>
      <c r="M104" s="2">
        <f>+PLAN2!L105</f>
        <v>0</v>
      </c>
      <c r="N104" s="2">
        <f>+PLAN2!M105</f>
        <v>0</v>
      </c>
      <c r="O104" s="2">
        <f>+PLAN2!N105</f>
        <v>0</v>
      </c>
      <c r="P104" s="2">
        <f>+PLAN2!O105</f>
        <v>10606.05</v>
      </c>
      <c r="Q104" s="2">
        <f>+PLAN2!P105</f>
        <v>0</v>
      </c>
      <c r="R104" s="2">
        <f>+PLAN2!Q105</f>
        <v>0</v>
      </c>
      <c r="S104" s="2">
        <f>+PLAN2!R105</f>
        <v>3030.3</v>
      </c>
      <c r="T104" s="2">
        <f>+PLAN2!S105</f>
        <v>0</v>
      </c>
      <c r="U104" s="2">
        <f>+PLAN2!T105</f>
        <v>0</v>
      </c>
      <c r="V104" s="2">
        <f>+PLAN2!U105</f>
        <v>0</v>
      </c>
      <c r="W104" s="2">
        <f>+PLAN2!V105</f>
        <v>0</v>
      </c>
      <c r="X104" s="2">
        <f>+PLAN2!W105</f>
        <v>0</v>
      </c>
      <c r="Y104" s="2">
        <f>+PLAN2!X105</f>
        <v>0</v>
      </c>
      <c r="Z104" s="2">
        <f>+PLAN2!Y105</f>
        <v>0</v>
      </c>
      <c r="AA104" s="2">
        <f>+PLAN2!Z105</f>
        <v>0</v>
      </c>
      <c r="AB104" s="2">
        <f>+PLAN2!AA105</f>
        <v>0</v>
      </c>
      <c r="AC104" s="2">
        <f>+PLAN2!AB105</f>
        <v>0</v>
      </c>
      <c r="AD104" s="2">
        <f>+PLAN2!AC105</f>
        <v>0</v>
      </c>
      <c r="AE104" s="2">
        <f>+PLAN2!AD105</f>
        <v>0</v>
      </c>
      <c r="AF104" s="2">
        <f>+PLAN2!AE105</f>
        <v>0</v>
      </c>
      <c r="AG104" s="2">
        <f>+PLAN2!AF105</f>
        <v>0</v>
      </c>
      <c r="AH104" s="2">
        <f>+PLAN2!AG105</f>
        <v>0</v>
      </c>
      <c r="AI104" s="2">
        <f>+PLAN2!AH105</f>
        <v>0</v>
      </c>
      <c r="AJ104" s="2">
        <f>+PLAN2!AI105</f>
        <v>0</v>
      </c>
      <c r="AK104" s="2">
        <f>+PLAN2!AJ105</f>
        <v>0</v>
      </c>
      <c r="AL104" s="2">
        <f>+PLAN2!AK105</f>
        <v>0</v>
      </c>
      <c r="AM104" s="2">
        <f>+PLAN2!AL105</f>
        <v>0</v>
      </c>
      <c r="AN104" s="2">
        <f ca="1">SUM(AN100:AN103)</f>
        <v>0</v>
      </c>
      <c r="AO104" s="288"/>
    </row>
    <row r="105" spans="1:41" x14ac:dyDescent="0.25">
      <c r="A105" s="211" t="s">
        <v>183</v>
      </c>
      <c r="B105" s="109"/>
      <c r="C105" s="109"/>
      <c r="D105" s="109"/>
      <c r="E105" s="109"/>
      <c r="F105" s="109"/>
      <c r="G105" s="109"/>
      <c r="H105" s="11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09"/>
      <c r="AK105" s="109"/>
      <c r="AL105" s="109"/>
      <c r="AM105" s="110"/>
      <c r="AN105" s="13"/>
      <c r="AO105" s="285"/>
    </row>
    <row r="106" spans="1:41" x14ac:dyDescent="0.25">
      <c r="A106" s="212" t="s">
        <v>185</v>
      </c>
      <c r="B106" s="90">
        <v>931.52</v>
      </c>
      <c r="C106" s="91">
        <v>9</v>
      </c>
      <c r="D106" s="97"/>
      <c r="E106" s="166"/>
      <c r="F106" s="84">
        <f ca="1">+IF(TODAY()&lt;DATEVALUE(1&amp;D$1&amp;E$1),0,IF(C106&gt;0,IF(C106-SUM(I$255:AM$255)&lt;0,B106-SUM(I106:AM106,0),0),0))+IF(C106=-1,B106-SUM(J106:AM106))</f>
        <v>931.52</v>
      </c>
      <c r="G106" s="1">
        <f t="shared" ref="G106:G112" si="21">+IF(B106=0,"-",D106/B106)</f>
        <v>0</v>
      </c>
      <c r="H106" s="14"/>
      <c r="I106" s="111">
        <f>IF(I$2=$E106,$D106,IF(I$2&gt;I$257,0,IF($C106=I$2,"PAGAR"&amp;" "&amp;TEXT($B106," #.##0,00"),IF($C106=-1,"PAGAR"&amp;" "&amp;TEXT($B106," #.##0,00"),0))))</f>
        <v>0</v>
      </c>
      <c r="J106" s="111">
        <f>+IF(J$2=$E106,$D106,IF(J$2&gt;J$257,0,IF($C106=J$2,"PAGAR"&amp;" "&amp;TEXT($B106," #.##0,00"),0)))</f>
        <v>0</v>
      </c>
      <c r="K106" s="111">
        <f>+IF(K$2=$E106,$D106,IF(K$2&gt;K$257,0,IF($C106=K$2,"PAGAR"&amp;" "&amp;TEXT($B106," #.##0,00"),0)))</f>
        <v>0</v>
      </c>
      <c r="L106" s="111">
        <f>+IF(L$2=$E106,$D106,IF(L$2&gt;L$257,0,IF($C106=L$2,"PAGAR"&amp;" "&amp;TEXT($B106," #.##0,00"),0)))</f>
        <v>0</v>
      </c>
      <c r="M106" s="111">
        <f>+IF(M$2=$E106,$D106,IF(M$2&gt;M$257,0,IF($C106=M$2,"PAGAR"&amp;" "&amp;TEXT($B106," #.##0,00"),0)))</f>
        <v>0</v>
      </c>
      <c r="N106" s="111">
        <f>+IF(N$2=$E106,$D106,IF(N$2&gt;N$257,0,IF($C106=N$2,"PAGAR"&amp;" "&amp;TEXT($B106," #.##0,00"),0)))</f>
        <v>0</v>
      </c>
      <c r="O106" s="111">
        <f>+IF(O$2=$E106,$D106,IF(O$2&gt;O$257,0,IF($C106=O$2,"PAGAR"&amp;" "&amp;TEXT($B106," #.##0,00"),0)))</f>
        <v>0</v>
      </c>
      <c r="P106" s="111">
        <f>+IF(P$2=$E106,$D106,IF(P$2&gt;P$257,0,IF($C106=P$2,"PAGAR"&amp;" "&amp;TEXT($B106," #.##0,00"),0)))</f>
        <v>0</v>
      </c>
      <c r="Q106" s="111" t="str">
        <f>+IF(Q$2=$E106,$D106,IF(Q$2&gt;Q$257,0,IF($C106=Q$2,"PAGAR"&amp;" "&amp;TEXT($B106," #.##0,00"),0)))</f>
        <v>PAGAR  931,52</v>
      </c>
      <c r="R106" s="111">
        <f>+IF(R$2=$E106,$D106,IF(R$2&gt;R$257,0,IF($C106=R$2,"PAGAR"&amp;" "&amp;TEXT($B106," #.##0,00"),0)))</f>
        <v>0</v>
      </c>
      <c r="S106" s="111">
        <f>+IF(S$2=$E106,$D106,IF(S$2&gt;S$257,0,IF($C106=S$2,"PAGAR"&amp;" "&amp;TEXT($B106," #.##0,00"),0)))</f>
        <v>0</v>
      </c>
      <c r="T106" s="111">
        <f>+IF(T$2=$E106,$D106,IF(T$2&gt;T$257,0,IF($C106=T$2,"PAGAR"&amp;" "&amp;TEXT($B106," #.##0,00"),0)))</f>
        <v>0</v>
      </c>
      <c r="U106" s="111">
        <f>+IF(U$2=$E106,$D106,IF(U$2&gt;U$257,0,IF($C106=U$2,"PAGAR"&amp;" "&amp;TEXT($B106," #.##0,00"),0)))</f>
        <v>0</v>
      </c>
      <c r="V106" s="111">
        <f>+IF(V$2=$E106,$D106,IF(V$2&gt;V$257,0,IF($C106=V$2,"PAGAR"&amp;" "&amp;TEXT($B106," #.##0,00"),0)))</f>
        <v>0</v>
      </c>
      <c r="W106" s="111">
        <f>+IF(W$2=$E106,$D106,IF(W$2&gt;W$257,0,IF($C106=W$2,"PAGAR"&amp;" "&amp;TEXT($B106," #.##0,00"),0)))</f>
        <v>0</v>
      </c>
      <c r="X106" s="111">
        <f>+IF(X$2=$E106,$D106,IF(X$2&gt;X$257,0,IF($C106=X$2,"PAGAR"&amp;" "&amp;TEXT($B106," #.##0,00"),0)))</f>
        <v>0</v>
      </c>
      <c r="Y106" s="111">
        <f>+IF(Y$2=$E106,$D106,IF(Y$2&gt;Y$257,0,IF($C106=Y$2,"PAGAR"&amp;" "&amp;TEXT($B106," #.##0,00"),0)))</f>
        <v>0</v>
      </c>
      <c r="Z106" s="111">
        <f>+IF(Z$2=$E106,$D106,IF(Z$2&gt;Z$257,0,IF($C106=Z$2,"PAGAR"&amp;" "&amp;TEXT($B106," #.##0,00"),0)))</f>
        <v>0</v>
      </c>
      <c r="AA106" s="111">
        <f>+IF(AA$2=$E106,$D106,IF(AA$2&gt;AA$257,0,IF($C106=AA$2,"PAGAR"&amp;" "&amp;TEXT($B106," #.##0,00"),0)))</f>
        <v>0</v>
      </c>
      <c r="AB106" s="111">
        <f>+IF(AB$2=$E106,$D106,IF(AB$2&gt;AB$257,0,IF($C106=AB$2,"PAGAR"&amp;" "&amp;TEXT($B106," #.##0,00"),0)))</f>
        <v>0</v>
      </c>
      <c r="AC106" s="111">
        <f>+IF(AC$2=$E106,$D106,IF(AC$2&gt;AC$257,0,IF($C106=AC$2,"PAGAR"&amp;" "&amp;TEXT($B106," #.##0,00"),0)))</f>
        <v>0</v>
      </c>
      <c r="AD106" s="111">
        <f>+IF(AD$2=$E106,$D106,IF(AD$2&gt;AD$257,0,IF($C106=AD$2,"PAGAR"&amp;" "&amp;TEXT($B106," #.##0,00"),0)))</f>
        <v>0</v>
      </c>
      <c r="AE106" s="111">
        <f>+IF(AE$2=$E106,$D106,IF(AE$2&gt;AE$257,0,IF($C106=AE$2,"PAGAR"&amp;" "&amp;TEXT($B106," #.##0,00"),0)))</f>
        <v>0</v>
      </c>
      <c r="AF106" s="111">
        <f>+IF(AF$2=$E106,$D106,IF(AF$2&gt;AF$257,0,IF($C106=AF$2,"PAGAR"&amp;" "&amp;TEXT($B106," #.##0,00"),0)))</f>
        <v>0</v>
      </c>
      <c r="AG106" s="111">
        <f>+IF(AG$2=$E106,$D106,IF(AG$2&gt;AG$257,0,IF($C106=AG$2,"PAGAR"&amp;" "&amp;TEXT($B106," #.##0,00"),0)))</f>
        <v>0</v>
      </c>
      <c r="AH106" s="111">
        <f>+IF(AH$2=$E106,$D106,IF(AH$2&gt;AH$257,0,IF($C106=AH$2,"PAGAR"&amp;" "&amp;TEXT($B106," #.##0,00"),0)))</f>
        <v>0</v>
      </c>
      <c r="AI106" s="111">
        <f>+IF(AI$2=$E106,$D106,IF(AI$2&gt;AI$257,0,IF($C106=AI$2,"PAGAR"&amp;" "&amp;TEXT($B106," #.##0,00"),0)))</f>
        <v>0</v>
      </c>
      <c r="AJ106" s="111">
        <f>+IF(AJ$2=$E106,$D106,IF(AJ$2&gt;AJ$257,0,IF($C106=AJ$2,"PAGAR"&amp;" "&amp;TEXT($B106," #.##0,00"),0)))</f>
        <v>0</v>
      </c>
      <c r="AK106" s="111">
        <f>+IF(AK$2=$E106,$D106,IF(AK$2&gt;AK$257,0,IF($C106=AK$2,"PAGAR"&amp;" "&amp;TEXT($B106," #.##0,00"),0)))</f>
        <v>0</v>
      </c>
      <c r="AL106" s="111">
        <f>+IF(AL$2=$E106,$D106,IF(AL$2&gt;AL$257,0,IF($C106=AL$2,"PAGAR"&amp;" "&amp;TEXT($B106," #.##0,00"),0)))</f>
        <v>0</v>
      </c>
      <c r="AM106" s="111">
        <f>+IF(AM$2=$E106,$D106,IF(AM$2&gt;AM$257,0,IF($C106=AM$2,"PAGAR"&amp;" "&amp;TEXT($B106," #.##0,00"),0)))</f>
        <v>0</v>
      </c>
      <c r="AN106" s="111">
        <f t="shared" ref="AN106:AN111" ca="1" si="22">+IF(F106&lt;0,-F106,0)</f>
        <v>0</v>
      </c>
      <c r="AO106" s="287">
        <f t="shared" ref="AO106:AO111" si="23">+IF(AND(C106=0,B106&gt;0),B106,0)</f>
        <v>0</v>
      </c>
    </row>
    <row r="107" spans="1:41" x14ac:dyDescent="0.25">
      <c r="A107" s="212" t="s">
        <v>186</v>
      </c>
      <c r="B107" s="90">
        <v>2221.7399999999998</v>
      </c>
      <c r="C107" s="91">
        <v>13</v>
      </c>
      <c r="D107" s="97"/>
      <c r="E107" s="166"/>
      <c r="F107" s="84">
        <f ca="1">+IF(TODAY()&lt;DATEVALUE(1&amp;D$1&amp;E$1),0,IF(C107&gt;0,IF(C107-SUM(I$255:AM$255)&lt;0,B107-SUM(I107:AM107,0),0),0))+IF(C107=-1,B107-SUM(J107:AM107))</f>
        <v>0</v>
      </c>
      <c r="G107" s="1">
        <f t="shared" si="21"/>
        <v>0</v>
      </c>
      <c r="H107" s="14"/>
      <c r="I107" s="111">
        <f>IF(I$2=$E107,$D107,IF(I$2&gt;I$257,0,IF($C107=I$2,"PAGAR"&amp;" "&amp;TEXT($B107," #.##0,00"),IF($C107=-1,"PAGAR"&amp;" "&amp;TEXT($B107," #.##0,00"),0))))</f>
        <v>0</v>
      </c>
      <c r="J107" s="111">
        <f>+IF(J$2=$E107,$D107,IF(J$2&gt;J$257,0,IF($C107=J$2,"PAGAR"&amp;" "&amp;TEXT($B107," #.##0,00"),0)))</f>
        <v>0</v>
      </c>
      <c r="K107" s="111">
        <f>+IF(K$2=$E107,$D107,IF(K$2&gt;K$257,0,IF($C107=K$2,"PAGAR"&amp;" "&amp;TEXT($B107," #.##0,00"),0)))</f>
        <v>0</v>
      </c>
      <c r="L107" s="111">
        <f>+IF(L$2=$E107,$D107,IF(L$2&gt;L$257,0,IF($C107=L$2,"PAGAR"&amp;" "&amp;TEXT($B107," #.##0,00"),0)))</f>
        <v>0</v>
      </c>
      <c r="M107" s="111">
        <f>+IF(M$2=$E107,$D107,IF(M$2&gt;M$257,0,IF($C107=M$2,"PAGAR"&amp;" "&amp;TEXT($B107," #.##0,00"),0)))</f>
        <v>0</v>
      </c>
      <c r="N107" s="111">
        <f>+IF(N$2=$E107,$D107,IF(N$2&gt;N$257,0,IF($C107=N$2,"PAGAR"&amp;" "&amp;TEXT($B107," #.##0,00"),0)))</f>
        <v>0</v>
      </c>
      <c r="O107" s="111">
        <f>+IF(O$2=$E107,$D107,IF(O$2&gt;O$257,0,IF($C107=O$2,"PAGAR"&amp;" "&amp;TEXT($B107," #.##0,00"),0)))</f>
        <v>0</v>
      </c>
      <c r="P107" s="111">
        <f>+IF(P$2=$E107,$D107,IF(P$2&gt;P$257,0,IF($C107=P$2,"PAGAR"&amp;" "&amp;TEXT($B107," #.##0,00"),0)))</f>
        <v>0</v>
      </c>
      <c r="Q107" s="111">
        <f>+IF(Q$2=$E107,$D107,IF(Q$2&gt;Q$257,0,IF($C107=Q$2,"PAGAR"&amp;" "&amp;TEXT($B107," #.##0,00"),0)))</f>
        <v>0</v>
      </c>
      <c r="R107" s="111">
        <f>+IF(R$2=$E107,$D107,IF(R$2&gt;R$257,0,IF($C107=R$2,"PAGAR"&amp;" "&amp;TEXT($B107," #.##0,00"),0)))</f>
        <v>0</v>
      </c>
      <c r="S107" s="111">
        <f>+IF(S$2=$E107,$D107,IF(S$2&gt;S$257,0,IF($C107=S$2,"PAGAR"&amp;" "&amp;TEXT($B107," #.##0,00"),0)))</f>
        <v>0</v>
      </c>
      <c r="T107" s="111">
        <f>+IF(T$2=$E107,$D107,IF(T$2&gt;T$257,0,IF($C107=T$2,"PAGAR"&amp;" "&amp;TEXT($B107," #.##0,00"),0)))</f>
        <v>0</v>
      </c>
      <c r="U107" s="111" t="str">
        <f>+IF(U$2=$E107,$D107,IF(U$2&gt;U$257,0,IF($C107=U$2,"PAGAR"&amp;" "&amp;TEXT($B107," #.##0,00"),0)))</f>
        <v>PAGAR  2.221,74</v>
      </c>
      <c r="V107" s="111">
        <f>+IF(V$2=$E107,$D107,IF(V$2&gt;V$257,0,IF($C107=V$2,"PAGAR"&amp;" "&amp;TEXT($B107," #.##0,00"),0)))</f>
        <v>0</v>
      </c>
      <c r="W107" s="111">
        <f>+IF(W$2=$E107,$D107,IF(W$2&gt;W$257,0,IF($C107=W$2,"PAGAR"&amp;" "&amp;TEXT($B107," #.##0,00"),0)))</f>
        <v>0</v>
      </c>
      <c r="X107" s="111">
        <f>+IF(X$2=$E107,$D107,IF(X$2&gt;X$257,0,IF($C107=X$2,"PAGAR"&amp;" "&amp;TEXT($B107," #.##0,00"),0)))</f>
        <v>0</v>
      </c>
      <c r="Y107" s="111">
        <f>+IF(Y$2=$E107,$D107,IF(Y$2&gt;Y$257,0,IF($C107=Y$2,"PAGAR"&amp;" "&amp;TEXT($B107," #.##0,00"),0)))</f>
        <v>0</v>
      </c>
      <c r="Z107" s="111">
        <f>+IF(Z$2=$E107,$D107,IF(Z$2&gt;Z$257,0,IF($C107=Z$2,"PAGAR"&amp;" "&amp;TEXT($B107," #.##0,00"),0)))</f>
        <v>0</v>
      </c>
      <c r="AA107" s="111">
        <f>+IF(AA$2=$E107,$D107,IF(AA$2&gt;AA$257,0,IF($C107=AA$2,"PAGAR"&amp;" "&amp;TEXT($B107," #.##0,00"),0)))</f>
        <v>0</v>
      </c>
      <c r="AB107" s="111">
        <f>+IF(AB$2=$E107,$D107,IF(AB$2&gt;AB$257,0,IF($C107=AB$2,"PAGAR"&amp;" "&amp;TEXT($B107," #.##0,00"),0)))</f>
        <v>0</v>
      </c>
      <c r="AC107" s="111">
        <f>+IF(AC$2=$E107,$D107,IF(AC$2&gt;AC$257,0,IF($C107=AC$2,"PAGAR"&amp;" "&amp;TEXT($B107," #.##0,00"),0)))</f>
        <v>0</v>
      </c>
      <c r="AD107" s="111">
        <f>+IF(AD$2=$E107,$D107,IF(AD$2&gt;AD$257,0,IF($C107=AD$2,"PAGAR"&amp;" "&amp;TEXT($B107," #.##0,00"),0)))</f>
        <v>0</v>
      </c>
      <c r="AE107" s="111">
        <f>+IF(AE$2=$E107,$D107,IF(AE$2&gt;AE$257,0,IF($C107=AE$2,"PAGAR"&amp;" "&amp;TEXT($B107," #.##0,00"),0)))</f>
        <v>0</v>
      </c>
      <c r="AF107" s="111">
        <f>+IF(AF$2=$E107,$D107,IF(AF$2&gt;AF$257,0,IF($C107=AF$2,"PAGAR"&amp;" "&amp;TEXT($B107," #.##0,00"),0)))</f>
        <v>0</v>
      </c>
      <c r="AG107" s="111">
        <f>+IF(AG$2=$E107,$D107,IF(AG$2&gt;AG$257,0,IF($C107=AG$2,"PAGAR"&amp;" "&amp;TEXT($B107," #.##0,00"),0)))</f>
        <v>0</v>
      </c>
      <c r="AH107" s="111">
        <f>+IF(AH$2=$E107,$D107,IF(AH$2&gt;AH$257,0,IF($C107=AH$2,"PAGAR"&amp;" "&amp;TEXT($B107," #.##0,00"),0)))</f>
        <v>0</v>
      </c>
      <c r="AI107" s="111">
        <f>+IF(AI$2=$E107,$D107,IF(AI$2&gt;AI$257,0,IF($C107=AI$2,"PAGAR"&amp;" "&amp;TEXT($B107," #.##0,00"),0)))</f>
        <v>0</v>
      </c>
      <c r="AJ107" s="111">
        <f>+IF(AJ$2=$E107,$D107,IF(AJ$2&gt;AJ$257,0,IF($C107=AJ$2,"PAGAR"&amp;" "&amp;TEXT($B107," #.##0,00"),0)))</f>
        <v>0</v>
      </c>
      <c r="AK107" s="111">
        <f>+IF(AK$2=$E107,$D107,IF(AK$2&gt;AK$257,0,IF($C107=AK$2,"PAGAR"&amp;" "&amp;TEXT($B107," #.##0,00"),0)))</f>
        <v>0</v>
      </c>
      <c r="AL107" s="111">
        <f>+IF(AL$2=$E107,$D107,IF(AL$2&gt;AL$257,0,IF($C107=AL$2,"PAGAR"&amp;" "&amp;TEXT($B107," #.##0,00"),0)))</f>
        <v>0</v>
      </c>
      <c r="AM107" s="111">
        <f>+IF(AM$2=$E107,$D107,IF(AM$2&gt;AM$257,0,IF($C107=AM$2,"PAGAR"&amp;" "&amp;TEXT($B107," #.##0,00"),0)))</f>
        <v>0</v>
      </c>
      <c r="AN107" s="111">
        <f t="shared" ca="1" si="22"/>
        <v>0</v>
      </c>
      <c r="AO107" s="287">
        <f t="shared" si="23"/>
        <v>0</v>
      </c>
    </row>
    <row r="108" spans="1:41" x14ac:dyDescent="0.25">
      <c r="A108" s="212"/>
      <c r="B108" s="90"/>
      <c r="C108" s="91"/>
      <c r="D108" s="97"/>
      <c r="E108" s="166"/>
      <c r="F108" s="84">
        <f ca="1">+IF(TODAY()&lt;DATEVALUE(1&amp;D$1&amp;E$1),0,IF(C108&gt;0,IF(C108-SUM(I$255:AM$255)&lt;0,B108-SUM(I108:AM108,0),0),0))+IF(C108=-1,B108-SUM(J108:AM108))</f>
        <v>0</v>
      </c>
      <c r="G108" s="1" t="str">
        <f t="shared" si="21"/>
        <v>-</v>
      </c>
      <c r="H108" s="14"/>
      <c r="I108" s="111">
        <f>IF(I$2=$E108,$D108,IF(I$2&gt;I$257,0,IF($C108=I$2,"PAGAR"&amp;" "&amp;TEXT($B108," #.##0,00"),IF($C108=-1,"PAGAR"&amp;" "&amp;TEXT($B108," #.##0,00"),0))))</f>
        <v>0</v>
      </c>
      <c r="J108" s="111">
        <f>+IF(J$2=$E108,$D108,IF(J$2&gt;J$257,0,IF($C108=J$2,"PAGAR"&amp;" "&amp;TEXT($B108," #.##0,00"),0)))</f>
        <v>0</v>
      </c>
      <c r="K108" s="111">
        <f>+IF(K$2=$E108,$D108,IF(K$2&gt;K$257,0,IF($C108=K$2,"PAGAR"&amp;" "&amp;TEXT($B108," #.##0,00"),0)))</f>
        <v>0</v>
      </c>
      <c r="L108" s="111">
        <f>+IF(L$2=$E108,$D108,IF(L$2&gt;L$257,0,IF($C108=L$2,"PAGAR"&amp;" "&amp;TEXT($B108," #.##0,00"),0)))</f>
        <v>0</v>
      </c>
      <c r="M108" s="111">
        <f>+IF(M$2=$E108,$D108,IF(M$2&gt;M$257,0,IF($C108=M$2,"PAGAR"&amp;" "&amp;TEXT($B108," #.##0,00"),0)))</f>
        <v>0</v>
      </c>
      <c r="N108" s="111">
        <f>+IF(N$2=$E108,$D108,IF(N$2&gt;N$257,0,IF($C108=N$2,"PAGAR"&amp;" "&amp;TEXT($B108," #.##0,00"),0)))</f>
        <v>0</v>
      </c>
      <c r="O108" s="111">
        <f>+IF(O$2=$E108,$D108,IF(O$2&gt;O$257,0,IF($C108=O$2,"PAGAR"&amp;" "&amp;TEXT($B108," #.##0,00"),0)))</f>
        <v>0</v>
      </c>
      <c r="P108" s="111">
        <f>+IF(P$2=$E108,$D108,IF(P$2&gt;P$257,0,IF($C108=P$2,"PAGAR"&amp;" "&amp;TEXT($B108," #.##0,00"),0)))</f>
        <v>0</v>
      </c>
      <c r="Q108" s="111">
        <f>+IF(Q$2=$E108,$D108,IF(Q$2&gt;Q$257,0,IF($C108=Q$2,"PAGAR"&amp;" "&amp;TEXT($B108," #.##0,00"),0)))</f>
        <v>0</v>
      </c>
      <c r="R108" s="111">
        <f>+IF(R$2=$E108,$D108,IF(R$2&gt;R$257,0,IF($C108=R$2,"PAGAR"&amp;" "&amp;TEXT($B108," #.##0,00"),0)))</f>
        <v>0</v>
      </c>
      <c r="S108" s="111">
        <f>+IF(S$2=$E108,$D108,IF(S$2&gt;S$257,0,IF($C108=S$2,"PAGAR"&amp;" "&amp;TEXT($B108," #.##0,00"),0)))</f>
        <v>0</v>
      </c>
      <c r="T108" s="111">
        <f>+IF(T$2=$E108,$D108,IF(T$2&gt;T$257,0,IF($C108=T$2,"PAGAR"&amp;" "&amp;TEXT($B108," #.##0,00"),0)))</f>
        <v>0</v>
      </c>
      <c r="U108" s="111">
        <f>+IF(U$2=$E108,$D108,IF(U$2&gt;U$257,0,IF($C108=U$2,"PAGAR"&amp;" "&amp;TEXT($B108," #.##0,00"),0)))</f>
        <v>0</v>
      </c>
      <c r="V108" s="111">
        <f>+IF(V$2=$E108,$D108,IF(V$2&gt;V$257,0,IF($C108=V$2,"PAGAR"&amp;" "&amp;TEXT($B108," #.##0,00"),0)))</f>
        <v>0</v>
      </c>
      <c r="W108" s="111">
        <f>+IF(W$2=$E108,$D108,IF(W$2&gt;W$257,0,IF($C108=W$2,"PAGAR"&amp;" "&amp;TEXT($B108," #.##0,00"),0)))</f>
        <v>0</v>
      </c>
      <c r="X108" s="111">
        <f>+IF(X$2=$E108,$D108,IF(X$2&gt;X$257,0,IF($C108=X$2,"PAGAR"&amp;" "&amp;TEXT($B108," #.##0,00"),0)))</f>
        <v>0</v>
      </c>
      <c r="Y108" s="111">
        <f>+IF(Y$2=$E108,$D108,IF(Y$2&gt;Y$257,0,IF($C108=Y$2,"PAGAR"&amp;" "&amp;TEXT($B108," #.##0,00"),0)))</f>
        <v>0</v>
      </c>
      <c r="Z108" s="111">
        <f>+IF(Z$2=$E108,$D108,IF(Z$2&gt;Z$257,0,IF($C108=Z$2,"PAGAR"&amp;" "&amp;TEXT($B108," #.##0,00"),0)))</f>
        <v>0</v>
      </c>
      <c r="AA108" s="111">
        <f>+IF(AA$2=$E108,$D108,IF(AA$2&gt;AA$257,0,IF($C108=AA$2,"PAGAR"&amp;" "&amp;TEXT($B108," #.##0,00"),0)))</f>
        <v>0</v>
      </c>
      <c r="AB108" s="111">
        <f>+IF(AB$2=$E108,$D108,IF(AB$2&gt;AB$257,0,IF($C108=AB$2,"PAGAR"&amp;" "&amp;TEXT($B108," #.##0,00"),0)))</f>
        <v>0</v>
      </c>
      <c r="AC108" s="111">
        <f>+IF(AC$2=$E108,$D108,IF(AC$2&gt;AC$257,0,IF($C108=AC$2,"PAGAR"&amp;" "&amp;TEXT($B108," #.##0,00"),0)))</f>
        <v>0</v>
      </c>
      <c r="AD108" s="111">
        <f>+IF(AD$2=$E108,$D108,IF(AD$2&gt;AD$257,0,IF($C108=AD$2,"PAGAR"&amp;" "&amp;TEXT($B108," #.##0,00"),0)))</f>
        <v>0</v>
      </c>
      <c r="AE108" s="111">
        <f>+IF(AE$2=$E108,$D108,IF(AE$2&gt;AE$257,0,IF($C108=AE$2,"PAGAR"&amp;" "&amp;TEXT($B108," #.##0,00"),0)))</f>
        <v>0</v>
      </c>
      <c r="AF108" s="111">
        <f>+IF(AF$2=$E108,$D108,IF(AF$2&gt;AF$257,0,IF($C108=AF$2,"PAGAR"&amp;" "&amp;TEXT($B108," #.##0,00"),0)))</f>
        <v>0</v>
      </c>
      <c r="AG108" s="111">
        <f>+IF(AG$2=$E108,$D108,IF(AG$2&gt;AG$257,0,IF($C108=AG$2,"PAGAR"&amp;" "&amp;TEXT($B108," #.##0,00"),0)))</f>
        <v>0</v>
      </c>
      <c r="AH108" s="111">
        <f>+IF(AH$2=$E108,$D108,IF(AH$2&gt;AH$257,0,IF($C108=AH$2,"PAGAR"&amp;" "&amp;TEXT($B108," #.##0,00"),0)))</f>
        <v>0</v>
      </c>
      <c r="AI108" s="111">
        <f>+IF(AI$2=$E108,$D108,IF(AI$2&gt;AI$257,0,IF($C108=AI$2,"PAGAR"&amp;" "&amp;TEXT($B108," #.##0,00"),0)))</f>
        <v>0</v>
      </c>
      <c r="AJ108" s="111">
        <f>+IF(AJ$2=$E108,$D108,IF(AJ$2&gt;AJ$257,0,IF($C108=AJ$2,"PAGAR"&amp;" "&amp;TEXT($B108," #.##0,00"),0)))</f>
        <v>0</v>
      </c>
      <c r="AK108" s="111">
        <f>+IF(AK$2=$E108,$D108,IF(AK$2&gt;AK$257,0,IF($C108=AK$2,"PAGAR"&amp;" "&amp;TEXT($B108," #.##0,00"),0)))</f>
        <v>0</v>
      </c>
      <c r="AL108" s="111">
        <f>+IF(AL$2=$E108,$D108,IF(AL$2&gt;AL$257,0,IF($C108=AL$2,"PAGAR"&amp;" "&amp;TEXT($B108," #.##0,00"),0)))</f>
        <v>0</v>
      </c>
      <c r="AM108" s="111">
        <f>+IF(AM$2=$E108,$D108,IF(AM$2&gt;AM$257,0,IF($C108=AM$2,"PAGAR"&amp;" "&amp;TEXT($B108," #.##0,00"),0)))</f>
        <v>0</v>
      </c>
      <c r="AN108" s="111">
        <f t="shared" ca="1" si="22"/>
        <v>0</v>
      </c>
      <c r="AO108" s="287">
        <f t="shared" si="23"/>
        <v>0</v>
      </c>
    </row>
    <row r="109" spans="1:41" x14ac:dyDescent="0.25">
      <c r="A109" s="212"/>
      <c r="B109" s="90"/>
      <c r="C109" s="91"/>
      <c r="D109" s="97"/>
      <c r="E109" s="166"/>
      <c r="F109" s="84">
        <f ca="1">+IF(TODAY()&lt;DATEVALUE(1&amp;D$1&amp;E$1),0,IF(C109&gt;0,IF(C109-SUM(I$255:AM$255)&lt;0,B109-SUM(I109:AM109,0),0),0))+IF(C109=-1,B109-SUM(J109:AM109))</f>
        <v>0</v>
      </c>
      <c r="G109" s="1" t="str">
        <f t="shared" si="21"/>
        <v>-</v>
      </c>
      <c r="H109" s="14"/>
      <c r="I109" s="111">
        <f>IF(I$2=$E109,$D109,IF(I$2&gt;I$257,0,IF($C109=I$2,"PAGAR"&amp;" "&amp;TEXT($B109," #.##0,00"),IF($C109=-1,"PAGAR"&amp;" "&amp;TEXT($B109," #.##0,00"),0))))</f>
        <v>0</v>
      </c>
      <c r="J109" s="111">
        <f>+IF(J$2=$E109,$D109,IF(J$2&gt;J$257,0,IF($C109=J$2,"PAGAR"&amp;" "&amp;TEXT($B109," #.##0,00"),0)))</f>
        <v>0</v>
      </c>
      <c r="K109" s="111">
        <f>+IF(K$2=$E109,$D109,IF(K$2&gt;K$257,0,IF($C109=K$2,"PAGAR"&amp;" "&amp;TEXT($B109," #.##0,00"),0)))</f>
        <v>0</v>
      </c>
      <c r="L109" s="111">
        <f>+IF(L$2=$E109,$D109,IF(L$2&gt;L$257,0,IF($C109=L$2,"PAGAR"&amp;" "&amp;TEXT($B109," #.##0,00"),0)))</f>
        <v>0</v>
      </c>
      <c r="M109" s="111">
        <f>+IF(M$2=$E109,$D109,IF(M$2&gt;M$257,0,IF($C109=M$2,"PAGAR"&amp;" "&amp;TEXT($B109," #.##0,00"),0)))</f>
        <v>0</v>
      </c>
      <c r="N109" s="111">
        <f>+IF(N$2=$E109,$D109,IF(N$2&gt;N$257,0,IF($C109=N$2,"PAGAR"&amp;" "&amp;TEXT($B109," #.##0,00"),0)))</f>
        <v>0</v>
      </c>
      <c r="O109" s="111">
        <f>+IF(O$2=$E109,$D109,IF(O$2&gt;O$257,0,IF($C109=O$2,"PAGAR"&amp;" "&amp;TEXT($B109," #.##0,00"),0)))</f>
        <v>0</v>
      </c>
      <c r="P109" s="111">
        <f>+IF(P$2=$E109,$D109,IF(P$2&gt;P$257,0,IF($C109=P$2,"PAGAR"&amp;" "&amp;TEXT($B109," #.##0,00"),0)))</f>
        <v>0</v>
      </c>
      <c r="Q109" s="111">
        <f>+IF(Q$2=$E109,$D109,IF(Q$2&gt;Q$257,0,IF($C109=Q$2,"PAGAR"&amp;" "&amp;TEXT($B109," #.##0,00"),0)))</f>
        <v>0</v>
      </c>
      <c r="R109" s="111">
        <f>+IF(R$2=$E109,$D109,IF(R$2&gt;R$257,0,IF($C109=R$2,"PAGAR"&amp;" "&amp;TEXT($B109," #.##0,00"),0)))</f>
        <v>0</v>
      </c>
      <c r="S109" s="111">
        <f>+IF(S$2=$E109,$D109,IF(S$2&gt;S$257,0,IF($C109=S$2,"PAGAR"&amp;" "&amp;TEXT($B109," #.##0,00"),0)))</f>
        <v>0</v>
      </c>
      <c r="T109" s="111">
        <f>+IF(T$2=$E109,$D109,IF(T$2&gt;T$257,0,IF($C109=T$2,"PAGAR"&amp;" "&amp;TEXT($B109," #.##0,00"),0)))</f>
        <v>0</v>
      </c>
      <c r="U109" s="111">
        <f>+IF(U$2=$E109,$D109,IF(U$2&gt;U$257,0,IF($C109=U$2,"PAGAR"&amp;" "&amp;TEXT($B109," #.##0,00"),0)))</f>
        <v>0</v>
      </c>
      <c r="V109" s="111">
        <f>+IF(V$2=$E109,$D109,IF(V$2&gt;V$257,0,IF($C109=V$2,"PAGAR"&amp;" "&amp;TEXT($B109," #.##0,00"),0)))</f>
        <v>0</v>
      </c>
      <c r="W109" s="111">
        <f>+IF(W$2=$E109,$D109,IF(W$2&gt;W$257,0,IF($C109=W$2,"PAGAR"&amp;" "&amp;TEXT($B109," #.##0,00"),0)))</f>
        <v>0</v>
      </c>
      <c r="X109" s="111">
        <f>+IF(X$2=$E109,$D109,IF(X$2&gt;X$257,0,IF($C109=X$2,"PAGAR"&amp;" "&amp;TEXT($B109," #.##0,00"),0)))</f>
        <v>0</v>
      </c>
      <c r="Y109" s="111">
        <f>+IF(Y$2=$E109,$D109,IF(Y$2&gt;Y$257,0,IF($C109=Y$2,"PAGAR"&amp;" "&amp;TEXT($B109," #.##0,00"),0)))</f>
        <v>0</v>
      </c>
      <c r="Z109" s="111">
        <f>+IF(Z$2=$E109,$D109,IF(Z$2&gt;Z$257,0,IF($C109=Z$2,"PAGAR"&amp;" "&amp;TEXT($B109," #.##0,00"),0)))</f>
        <v>0</v>
      </c>
      <c r="AA109" s="111">
        <f>+IF(AA$2=$E109,$D109,IF(AA$2&gt;AA$257,0,IF($C109=AA$2,"PAGAR"&amp;" "&amp;TEXT($B109," #.##0,00"),0)))</f>
        <v>0</v>
      </c>
      <c r="AB109" s="111">
        <f>+IF(AB$2=$E109,$D109,IF(AB$2&gt;AB$257,0,IF($C109=AB$2,"PAGAR"&amp;" "&amp;TEXT($B109," #.##0,00"),0)))</f>
        <v>0</v>
      </c>
      <c r="AC109" s="111">
        <f>+IF(AC$2=$E109,$D109,IF(AC$2&gt;AC$257,0,IF($C109=AC$2,"PAGAR"&amp;" "&amp;TEXT($B109," #.##0,00"),0)))</f>
        <v>0</v>
      </c>
      <c r="AD109" s="111">
        <f>+IF(AD$2=$E109,$D109,IF(AD$2&gt;AD$257,0,IF($C109=AD$2,"PAGAR"&amp;" "&amp;TEXT($B109," #.##0,00"),0)))</f>
        <v>0</v>
      </c>
      <c r="AE109" s="111">
        <f>+IF(AE$2=$E109,$D109,IF(AE$2&gt;AE$257,0,IF($C109=AE$2,"PAGAR"&amp;" "&amp;TEXT($B109," #.##0,00"),0)))</f>
        <v>0</v>
      </c>
      <c r="AF109" s="111">
        <f>+IF(AF$2=$E109,$D109,IF(AF$2&gt;AF$257,0,IF($C109=AF$2,"PAGAR"&amp;" "&amp;TEXT($B109," #.##0,00"),0)))</f>
        <v>0</v>
      </c>
      <c r="AG109" s="111">
        <f>+IF(AG$2=$E109,$D109,IF(AG$2&gt;AG$257,0,IF($C109=AG$2,"PAGAR"&amp;" "&amp;TEXT($B109," #.##0,00"),0)))</f>
        <v>0</v>
      </c>
      <c r="AH109" s="111">
        <f>+IF(AH$2=$E109,$D109,IF(AH$2&gt;AH$257,0,IF($C109=AH$2,"PAGAR"&amp;" "&amp;TEXT($B109," #.##0,00"),0)))</f>
        <v>0</v>
      </c>
      <c r="AI109" s="111">
        <f>+IF(AI$2=$E109,$D109,IF(AI$2&gt;AI$257,0,IF($C109=AI$2,"PAGAR"&amp;" "&amp;TEXT($B109," #.##0,00"),0)))</f>
        <v>0</v>
      </c>
      <c r="AJ109" s="111">
        <f>+IF(AJ$2=$E109,$D109,IF(AJ$2&gt;AJ$257,0,IF($C109=AJ$2,"PAGAR"&amp;" "&amp;TEXT($B109," #.##0,00"),0)))</f>
        <v>0</v>
      </c>
      <c r="AK109" s="111">
        <f>+IF(AK$2=$E109,$D109,IF(AK$2&gt;AK$257,0,IF($C109=AK$2,"PAGAR"&amp;" "&amp;TEXT($B109," #.##0,00"),0)))</f>
        <v>0</v>
      </c>
      <c r="AL109" s="111">
        <f>+IF(AL$2=$E109,$D109,IF(AL$2&gt;AL$257,0,IF($C109=AL$2,"PAGAR"&amp;" "&amp;TEXT($B109," #.##0,00"),0)))</f>
        <v>0</v>
      </c>
      <c r="AM109" s="111">
        <f>+IF(AM$2=$E109,$D109,IF(AM$2&gt;AM$257,0,IF($C109=AM$2,"PAGAR"&amp;" "&amp;TEXT($B109," #.##0,00"),0)))</f>
        <v>0</v>
      </c>
      <c r="AN109" s="111">
        <f t="shared" ca="1" si="22"/>
        <v>0</v>
      </c>
      <c r="AO109" s="287">
        <f t="shared" si="23"/>
        <v>0</v>
      </c>
    </row>
    <row r="110" spans="1:41" x14ac:dyDescent="0.25">
      <c r="A110" s="212"/>
      <c r="B110" s="90"/>
      <c r="C110" s="91"/>
      <c r="D110" s="97"/>
      <c r="E110" s="166"/>
      <c r="F110" s="84">
        <f ca="1">+IF(TODAY()&lt;DATEVALUE(1&amp;D$1&amp;E$1),0,IF(C110&gt;0,IF(C110-SUM(I$255:AM$255)&lt;0,B110-SUM(I110:AM110,0),0),0))+IF(C110=-1,B110-SUM(J110:AM110))</f>
        <v>0</v>
      </c>
      <c r="G110" s="1" t="str">
        <f t="shared" si="21"/>
        <v>-</v>
      </c>
      <c r="H110" s="14"/>
      <c r="I110" s="111">
        <f>IF(I$2=$E110,$D110,IF(I$2&gt;I$257,0,IF($C110=I$2,"PAGAR"&amp;" "&amp;TEXT($B110," #.##0,00"),IF($C110=-1,"PAGAR"&amp;" "&amp;TEXT($B110," #.##0,00"),0))))</f>
        <v>0</v>
      </c>
      <c r="J110" s="111">
        <f>+IF(J$2=$E110,$D110,IF(J$2&gt;J$257,0,IF($C110=J$2,"PAGAR"&amp;" "&amp;TEXT($B110," #.##0,00"),0)))</f>
        <v>0</v>
      </c>
      <c r="K110" s="111">
        <f>+IF(K$2=$E110,$D110,IF(K$2&gt;K$257,0,IF($C110=K$2,"PAGAR"&amp;" "&amp;TEXT($B110," #.##0,00"),0)))</f>
        <v>0</v>
      </c>
      <c r="L110" s="111">
        <f>+IF(L$2=$E110,$D110,IF(L$2&gt;L$257,0,IF($C110=L$2,"PAGAR"&amp;" "&amp;TEXT($B110," #.##0,00"),0)))</f>
        <v>0</v>
      </c>
      <c r="M110" s="111">
        <f>+IF(M$2=$E110,$D110,IF(M$2&gt;M$257,0,IF($C110=M$2,"PAGAR"&amp;" "&amp;TEXT($B110," #.##0,00"),0)))</f>
        <v>0</v>
      </c>
      <c r="N110" s="111">
        <f>+IF(N$2=$E110,$D110,IF(N$2&gt;N$257,0,IF($C110=N$2,"PAGAR"&amp;" "&amp;TEXT($B110," #.##0,00"),0)))</f>
        <v>0</v>
      </c>
      <c r="O110" s="111">
        <f>+IF(O$2=$E110,$D110,IF(O$2&gt;O$257,0,IF($C110=O$2,"PAGAR"&amp;" "&amp;TEXT($B110," #.##0,00"),0)))</f>
        <v>0</v>
      </c>
      <c r="P110" s="111">
        <f>+IF(P$2=$E110,$D110,IF(P$2&gt;P$257,0,IF($C110=P$2,"PAGAR"&amp;" "&amp;TEXT($B110," #.##0,00"),0)))</f>
        <v>0</v>
      </c>
      <c r="Q110" s="111">
        <f>+IF(Q$2=$E110,$D110,IF(Q$2&gt;Q$257,0,IF($C110=Q$2,"PAGAR"&amp;" "&amp;TEXT($B110," #.##0,00"),0)))</f>
        <v>0</v>
      </c>
      <c r="R110" s="111">
        <f>+IF(R$2=$E110,$D110,IF(R$2&gt;R$257,0,IF($C110=R$2,"PAGAR"&amp;" "&amp;TEXT($B110," #.##0,00"),0)))</f>
        <v>0</v>
      </c>
      <c r="S110" s="111">
        <f>+IF(S$2=$E110,$D110,IF(S$2&gt;S$257,0,IF($C110=S$2,"PAGAR"&amp;" "&amp;TEXT($B110," #.##0,00"),0)))</f>
        <v>0</v>
      </c>
      <c r="T110" s="111">
        <f>+IF(T$2=$E110,$D110,IF(T$2&gt;T$257,0,IF($C110=T$2,"PAGAR"&amp;" "&amp;TEXT($B110," #.##0,00"),0)))</f>
        <v>0</v>
      </c>
      <c r="U110" s="111">
        <f>+IF(U$2=$E110,$D110,IF(U$2&gt;U$257,0,IF($C110=U$2,"PAGAR"&amp;" "&amp;TEXT($B110," #.##0,00"),0)))</f>
        <v>0</v>
      </c>
      <c r="V110" s="111">
        <f>+IF(V$2=$E110,$D110,IF(V$2&gt;V$257,0,IF($C110=V$2,"PAGAR"&amp;" "&amp;TEXT($B110," #.##0,00"),0)))</f>
        <v>0</v>
      </c>
      <c r="W110" s="111">
        <f>+IF(W$2=$E110,$D110,IF(W$2&gt;W$257,0,IF($C110=W$2,"PAGAR"&amp;" "&amp;TEXT($B110," #.##0,00"),0)))</f>
        <v>0</v>
      </c>
      <c r="X110" s="111">
        <f>+IF(X$2=$E110,$D110,IF(X$2&gt;X$257,0,IF($C110=X$2,"PAGAR"&amp;" "&amp;TEXT($B110," #.##0,00"),0)))</f>
        <v>0</v>
      </c>
      <c r="Y110" s="111">
        <f>+IF(Y$2=$E110,$D110,IF(Y$2&gt;Y$257,0,IF($C110=Y$2,"PAGAR"&amp;" "&amp;TEXT($B110," #.##0,00"),0)))</f>
        <v>0</v>
      </c>
      <c r="Z110" s="111">
        <f>+IF(Z$2=$E110,$D110,IF(Z$2&gt;Z$257,0,IF($C110=Z$2,"PAGAR"&amp;" "&amp;TEXT($B110," #.##0,00"),0)))</f>
        <v>0</v>
      </c>
      <c r="AA110" s="111">
        <f>+IF(AA$2=$E110,$D110,IF(AA$2&gt;AA$257,0,IF($C110=AA$2,"PAGAR"&amp;" "&amp;TEXT($B110," #.##0,00"),0)))</f>
        <v>0</v>
      </c>
      <c r="AB110" s="111">
        <f>+IF(AB$2=$E110,$D110,IF(AB$2&gt;AB$257,0,IF($C110=AB$2,"PAGAR"&amp;" "&amp;TEXT($B110," #.##0,00"),0)))</f>
        <v>0</v>
      </c>
      <c r="AC110" s="111">
        <f>+IF(AC$2=$E110,$D110,IF(AC$2&gt;AC$257,0,IF($C110=AC$2,"PAGAR"&amp;" "&amp;TEXT($B110," #.##0,00"),0)))</f>
        <v>0</v>
      </c>
      <c r="AD110" s="111">
        <f>+IF(AD$2=$E110,$D110,IF(AD$2&gt;AD$257,0,IF($C110=AD$2,"PAGAR"&amp;" "&amp;TEXT($B110," #.##0,00"),0)))</f>
        <v>0</v>
      </c>
      <c r="AE110" s="111">
        <f>+IF(AE$2=$E110,$D110,IF(AE$2&gt;AE$257,0,IF($C110=AE$2,"PAGAR"&amp;" "&amp;TEXT($B110," #.##0,00"),0)))</f>
        <v>0</v>
      </c>
      <c r="AF110" s="111">
        <f>+IF(AF$2=$E110,$D110,IF(AF$2&gt;AF$257,0,IF($C110=AF$2,"PAGAR"&amp;" "&amp;TEXT($B110," #.##0,00"),0)))</f>
        <v>0</v>
      </c>
      <c r="AG110" s="111">
        <f>+IF(AG$2=$E110,$D110,IF(AG$2&gt;AG$257,0,IF($C110=AG$2,"PAGAR"&amp;" "&amp;TEXT($B110," #.##0,00"),0)))</f>
        <v>0</v>
      </c>
      <c r="AH110" s="111">
        <f>+IF(AH$2=$E110,$D110,IF(AH$2&gt;AH$257,0,IF($C110=AH$2,"PAGAR"&amp;" "&amp;TEXT($B110," #.##0,00"),0)))</f>
        <v>0</v>
      </c>
      <c r="AI110" s="111">
        <f>+IF(AI$2=$E110,$D110,IF(AI$2&gt;AI$257,0,IF($C110=AI$2,"PAGAR"&amp;" "&amp;TEXT($B110," #.##0,00"),0)))</f>
        <v>0</v>
      </c>
      <c r="AJ110" s="111">
        <f>+IF(AJ$2=$E110,$D110,IF(AJ$2&gt;AJ$257,0,IF($C110=AJ$2,"PAGAR"&amp;" "&amp;TEXT($B110," #.##0,00"),0)))</f>
        <v>0</v>
      </c>
      <c r="AK110" s="111">
        <f>+IF(AK$2=$E110,$D110,IF(AK$2&gt;AK$257,0,IF($C110=AK$2,"PAGAR"&amp;" "&amp;TEXT($B110," #.##0,00"),0)))</f>
        <v>0</v>
      </c>
      <c r="AL110" s="111">
        <f>+IF(AL$2=$E110,$D110,IF(AL$2&gt;AL$257,0,IF($C110=AL$2,"PAGAR"&amp;" "&amp;TEXT($B110," #.##0,00"),0)))</f>
        <v>0</v>
      </c>
      <c r="AM110" s="111">
        <f>+IF(AM$2=$E110,$D110,IF(AM$2&gt;AM$257,0,IF($C110=AM$2,"PAGAR"&amp;" "&amp;TEXT($B110," #.##0,00"),0)))</f>
        <v>0</v>
      </c>
      <c r="AN110" s="111">
        <f t="shared" ca="1" si="22"/>
        <v>0</v>
      </c>
      <c r="AO110" s="287">
        <f t="shared" si="23"/>
        <v>0</v>
      </c>
    </row>
    <row r="111" spans="1:41" x14ac:dyDescent="0.25">
      <c r="A111" s="212"/>
      <c r="B111" s="90"/>
      <c r="C111" s="91"/>
      <c r="D111" s="97"/>
      <c r="E111" s="166"/>
      <c r="F111" s="84">
        <f ca="1">+IF(TODAY()&lt;DATEVALUE(1&amp;D$1&amp;E$1),0,IF(C111&gt;0,IF(C111-SUM(I$255:AM$255)&lt;0,B111-SUM(I111:AM111,0),0),0))+IF(C111=-1,B111-SUM(J111:AM111))</f>
        <v>0</v>
      </c>
      <c r="G111" s="1" t="str">
        <f t="shared" si="21"/>
        <v>-</v>
      </c>
      <c r="H111" s="14"/>
      <c r="I111" s="111">
        <f>IF(I$2=$E111,$D111,IF(I$2&gt;I$257,0,IF($C111=I$2,"PAGAR"&amp;" "&amp;TEXT($B111," #.##0,00"),IF($C111=-1,"PAGAR"&amp;" "&amp;TEXT($B111," #.##0,00"),0))))</f>
        <v>0</v>
      </c>
      <c r="J111" s="111">
        <f>+IF(J$2=$E111,$D111,IF(J$2&gt;J$257,0,IF($C111=J$2,"PAGAR"&amp;" "&amp;TEXT($B111," #.##0,00"),0)))</f>
        <v>0</v>
      </c>
      <c r="K111" s="111">
        <f>+IF(K$2=$E111,$D111,IF(K$2&gt;K$257,0,IF($C111=K$2,"PAGAR"&amp;" "&amp;TEXT($B111," #.##0,00"),0)))</f>
        <v>0</v>
      </c>
      <c r="L111" s="111">
        <f>+IF(L$2=$E111,$D111,IF(L$2&gt;L$257,0,IF($C111=L$2,"PAGAR"&amp;" "&amp;TEXT($B111," #.##0,00"),0)))</f>
        <v>0</v>
      </c>
      <c r="M111" s="111">
        <f>+IF(M$2=$E111,$D111,IF(M$2&gt;M$257,0,IF($C111=M$2,"PAGAR"&amp;" "&amp;TEXT($B111," #.##0,00"),0)))</f>
        <v>0</v>
      </c>
      <c r="N111" s="111">
        <f>+IF(N$2=$E111,$D111,IF(N$2&gt;N$257,0,IF($C111=N$2,"PAGAR"&amp;" "&amp;TEXT($B111," #.##0,00"),0)))</f>
        <v>0</v>
      </c>
      <c r="O111" s="111">
        <f>+IF(O$2=$E111,$D111,IF(O$2&gt;O$257,0,IF($C111=O$2,"PAGAR"&amp;" "&amp;TEXT($B111," #.##0,00"),0)))</f>
        <v>0</v>
      </c>
      <c r="P111" s="111">
        <f>+IF(P$2=$E111,$D111,IF(P$2&gt;P$257,0,IF($C111=P$2,"PAGAR"&amp;" "&amp;TEXT($B111," #.##0,00"),0)))</f>
        <v>0</v>
      </c>
      <c r="Q111" s="111">
        <f>+IF(Q$2=$E111,$D111,IF(Q$2&gt;Q$257,0,IF($C111=Q$2,"PAGAR"&amp;" "&amp;TEXT($B111," #.##0,00"),0)))</f>
        <v>0</v>
      </c>
      <c r="R111" s="111">
        <f>+IF(R$2=$E111,$D111,IF(R$2&gt;R$257,0,IF($C111=R$2,"PAGAR"&amp;" "&amp;TEXT($B111," #.##0,00"),0)))</f>
        <v>0</v>
      </c>
      <c r="S111" s="111">
        <f>+IF(S$2=$E111,$D111,IF(S$2&gt;S$257,0,IF($C111=S$2,"PAGAR"&amp;" "&amp;TEXT($B111," #.##0,00"),0)))</f>
        <v>0</v>
      </c>
      <c r="T111" s="111">
        <f>+IF(T$2=$E111,$D111,IF(T$2&gt;T$257,0,IF($C111=T$2,"PAGAR"&amp;" "&amp;TEXT($B111," #.##0,00"),0)))</f>
        <v>0</v>
      </c>
      <c r="U111" s="111">
        <f>+IF(U$2=$E111,$D111,IF(U$2&gt;U$257,0,IF($C111=U$2,"PAGAR"&amp;" "&amp;TEXT($B111," #.##0,00"),0)))</f>
        <v>0</v>
      </c>
      <c r="V111" s="111">
        <f>+IF(V$2=$E111,$D111,IF(V$2&gt;V$257,0,IF($C111=V$2,"PAGAR"&amp;" "&amp;TEXT($B111," #.##0,00"),0)))</f>
        <v>0</v>
      </c>
      <c r="W111" s="111">
        <f>+IF(W$2=$E111,$D111,IF(W$2&gt;W$257,0,IF($C111=W$2,"PAGAR"&amp;" "&amp;TEXT($B111," #.##0,00"),0)))</f>
        <v>0</v>
      </c>
      <c r="X111" s="111">
        <f>+IF(X$2=$E111,$D111,IF(X$2&gt;X$257,0,IF($C111=X$2,"PAGAR"&amp;" "&amp;TEXT($B111," #.##0,00"),0)))</f>
        <v>0</v>
      </c>
      <c r="Y111" s="111">
        <f>+IF(Y$2=$E111,$D111,IF(Y$2&gt;Y$257,0,IF($C111=Y$2,"PAGAR"&amp;" "&amp;TEXT($B111," #.##0,00"),0)))</f>
        <v>0</v>
      </c>
      <c r="Z111" s="111">
        <f>+IF(Z$2=$E111,$D111,IF(Z$2&gt;Z$257,0,IF($C111=Z$2,"PAGAR"&amp;" "&amp;TEXT($B111," #.##0,00"),0)))</f>
        <v>0</v>
      </c>
      <c r="AA111" s="111">
        <f>+IF(AA$2=$E111,$D111,IF(AA$2&gt;AA$257,0,IF($C111=AA$2,"PAGAR"&amp;" "&amp;TEXT($B111," #.##0,00"),0)))</f>
        <v>0</v>
      </c>
      <c r="AB111" s="111">
        <f>+IF(AB$2=$E111,$D111,IF(AB$2&gt;AB$257,0,IF($C111=AB$2,"PAGAR"&amp;" "&amp;TEXT($B111," #.##0,00"),0)))</f>
        <v>0</v>
      </c>
      <c r="AC111" s="111">
        <f>+IF(AC$2=$E111,$D111,IF(AC$2&gt;AC$257,0,IF($C111=AC$2,"PAGAR"&amp;" "&amp;TEXT($B111," #.##0,00"),0)))</f>
        <v>0</v>
      </c>
      <c r="AD111" s="111">
        <f>+IF(AD$2=$E111,$D111,IF(AD$2&gt;AD$257,0,IF($C111=AD$2,"PAGAR"&amp;" "&amp;TEXT($B111," #.##0,00"),0)))</f>
        <v>0</v>
      </c>
      <c r="AE111" s="111">
        <f>+IF(AE$2=$E111,$D111,IF(AE$2&gt;AE$257,0,IF($C111=AE$2,"PAGAR"&amp;" "&amp;TEXT($B111," #.##0,00"),0)))</f>
        <v>0</v>
      </c>
      <c r="AF111" s="111">
        <f>+IF(AF$2=$E111,$D111,IF(AF$2&gt;AF$257,0,IF($C111=AF$2,"PAGAR"&amp;" "&amp;TEXT($B111," #.##0,00"),0)))</f>
        <v>0</v>
      </c>
      <c r="AG111" s="111">
        <f>+IF(AG$2=$E111,$D111,IF(AG$2&gt;AG$257,0,IF($C111=AG$2,"PAGAR"&amp;" "&amp;TEXT($B111," #.##0,00"),0)))</f>
        <v>0</v>
      </c>
      <c r="AH111" s="111">
        <f>+IF(AH$2=$E111,$D111,IF(AH$2&gt;AH$257,0,IF($C111=AH$2,"PAGAR"&amp;" "&amp;TEXT($B111," #.##0,00"),0)))</f>
        <v>0</v>
      </c>
      <c r="AI111" s="111">
        <f>+IF(AI$2=$E111,$D111,IF(AI$2&gt;AI$257,0,IF($C111=AI$2,"PAGAR"&amp;" "&amp;TEXT($B111," #.##0,00"),0)))</f>
        <v>0</v>
      </c>
      <c r="AJ111" s="111">
        <f>+IF(AJ$2=$E111,$D111,IF(AJ$2&gt;AJ$257,0,IF($C111=AJ$2,"PAGAR"&amp;" "&amp;TEXT($B111," #.##0,00"),0)))</f>
        <v>0</v>
      </c>
      <c r="AK111" s="111">
        <f>+IF(AK$2=$E111,$D111,IF(AK$2&gt;AK$257,0,IF($C111=AK$2,"PAGAR"&amp;" "&amp;TEXT($B111," #.##0,00"),0)))</f>
        <v>0</v>
      </c>
      <c r="AL111" s="111">
        <f>+IF(AL$2=$E111,$D111,IF(AL$2&gt;AL$257,0,IF($C111=AL$2,"PAGAR"&amp;" "&amp;TEXT($B111," #.##0,00"),0)))</f>
        <v>0</v>
      </c>
      <c r="AM111" s="111">
        <f>+IF(AM$2=$E111,$D111,IF(AM$2&gt;AM$257,0,IF($C111=AM$2,"PAGAR"&amp;" "&amp;TEXT($B111," #.##0,00"),0)))</f>
        <v>0</v>
      </c>
      <c r="AN111" s="111">
        <f t="shared" ca="1" si="22"/>
        <v>0</v>
      </c>
      <c r="AO111" s="287">
        <f t="shared" si="23"/>
        <v>0</v>
      </c>
    </row>
    <row r="112" spans="1:41" ht="15.75" x14ac:dyDescent="0.25">
      <c r="A112" s="112" t="s">
        <v>76</v>
      </c>
      <c r="B112" s="6">
        <f>+SUM(B106:B111)</f>
        <v>3153.2599999999998</v>
      </c>
      <c r="C112" s="81"/>
      <c r="D112" s="6">
        <f>+SUM(D106:D111)</f>
        <v>0</v>
      </c>
      <c r="E112" s="81"/>
      <c r="F112" s="195">
        <f ca="1">+SUMIF(F106:F111,"&gt;0")</f>
        <v>931.52</v>
      </c>
      <c r="G112" s="3">
        <f t="shared" si="21"/>
        <v>0</v>
      </c>
      <c r="H112" s="5"/>
      <c r="I112" s="2">
        <f>+PLAN2!H113</f>
        <v>0</v>
      </c>
      <c r="J112" s="2">
        <f>+PLAN2!I113</f>
        <v>0</v>
      </c>
      <c r="K112" s="2">
        <f>+PLAN2!J113</f>
        <v>0</v>
      </c>
      <c r="L112" s="2">
        <f>+PLAN2!K113</f>
        <v>0</v>
      </c>
      <c r="M112" s="2">
        <f>+PLAN2!L113</f>
        <v>0</v>
      </c>
      <c r="N112" s="2">
        <f>+PLAN2!M113</f>
        <v>0</v>
      </c>
      <c r="O112" s="2">
        <f>+PLAN2!N113</f>
        <v>0</v>
      </c>
      <c r="P112" s="2">
        <f>+PLAN2!O113</f>
        <v>0</v>
      </c>
      <c r="Q112" s="2">
        <f>+PLAN2!P113</f>
        <v>931.52</v>
      </c>
      <c r="R112" s="2">
        <f>+PLAN2!Q113</f>
        <v>0</v>
      </c>
      <c r="S112" s="2">
        <f>+PLAN2!R113</f>
        <v>0</v>
      </c>
      <c r="T112" s="2">
        <f>+PLAN2!S113</f>
        <v>0</v>
      </c>
      <c r="U112" s="2">
        <f>+PLAN2!T113</f>
        <v>2221.7399999999998</v>
      </c>
      <c r="V112" s="2">
        <f>+PLAN2!U113</f>
        <v>0</v>
      </c>
      <c r="W112" s="2">
        <f>+PLAN2!V113</f>
        <v>0</v>
      </c>
      <c r="X112" s="2">
        <f>+PLAN2!W113</f>
        <v>0</v>
      </c>
      <c r="Y112" s="2">
        <f>+PLAN2!X113</f>
        <v>0</v>
      </c>
      <c r="Z112" s="2">
        <f>+PLAN2!Y113</f>
        <v>0</v>
      </c>
      <c r="AA112" s="2">
        <f>+PLAN2!Z113</f>
        <v>0</v>
      </c>
      <c r="AB112" s="2">
        <f>+PLAN2!AA113</f>
        <v>0</v>
      </c>
      <c r="AC112" s="2">
        <f>+PLAN2!AB113</f>
        <v>0</v>
      </c>
      <c r="AD112" s="2">
        <f>+PLAN2!AC113</f>
        <v>0</v>
      </c>
      <c r="AE112" s="2">
        <f>+PLAN2!AD113</f>
        <v>0</v>
      </c>
      <c r="AF112" s="2">
        <f>+PLAN2!AE113</f>
        <v>0</v>
      </c>
      <c r="AG112" s="2">
        <f>+PLAN2!AF113</f>
        <v>0</v>
      </c>
      <c r="AH112" s="2">
        <f>+PLAN2!AG113</f>
        <v>0</v>
      </c>
      <c r="AI112" s="2">
        <f>+PLAN2!AH113</f>
        <v>0</v>
      </c>
      <c r="AJ112" s="2">
        <f>+PLAN2!AI113</f>
        <v>0</v>
      </c>
      <c r="AK112" s="2">
        <f>+PLAN2!AJ113</f>
        <v>0</v>
      </c>
      <c r="AL112" s="2">
        <f>+PLAN2!AK113</f>
        <v>0</v>
      </c>
      <c r="AM112" s="2">
        <f>+PLAN2!AL113</f>
        <v>0</v>
      </c>
      <c r="AN112" s="2">
        <f ca="1">SUM(AN106:AN111)</f>
        <v>0</v>
      </c>
      <c r="AO112" s="288"/>
    </row>
    <row r="113" spans="1:41" x14ac:dyDescent="0.25">
      <c r="A113" s="211" t="s">
        <v>52</v>
      </c>
      <c r="B113" s="109"/>
      <c r="C113" s="109"/>
      <c r="D113" s="109"/>
      <c r="E113" s="109"/>
      <c r="F113" s="109"/>
      <c r="G113" s="109"/>
      <c r="H113" s="11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10"/>
      <c r="AN113" s="13"/>
      <c r="AO113" s="285"/>
    </row>
    <row r="114" spans="1:41" x14ac:dyDescent="0.25">
      <c r="A114" s="212" t="s">
        <v>169</v>
      </c>
      <c r="B114" s="90">
        <v>1750</v>
      </c>
      <c r="C114" s="91">
        <v>1</v>
      </c>
      <c r="D114" s="97"/>
      <c r="E114" s="166"/>
      <c r="F114" s="84">
        <f ca="1">+IF(TODAY()&lt;DATEVALUE(1&amp;D$1&amp;E$1),0,IF(C114&gt;0,IF(C114-SUM(I$255:AM$255)&lt;0,B114-SUM(I114:AM114,0),0),0))+IF(C114=-1,B114-SUM(J114:AM114))</f>
        <v>1750</v>
      </c>
      <c r="G114" s="1">
        <f t="shared" ref="G114:G122" si="24">+IF(B114=0,"-",D114/B114)</f>
        <v>0</v>
      </c>
      <c r="H114" s="14"/>
      <c r="I114" s="111" t="str">
        <f>IF(I$2=$E114,$D114,IF(I$2&gt;I$257,0,IF($C114=I$2,"PAGAR"&amp;" "&amp;TEXT($B114," #.##0,00"),IF($C114=-1,"PAGAR"&amp;" "&amp;TEXT($B114," #.##0,00"),0))))</f>
        <v>PAGAR  1.750,00</v>
      </c>
      <c r="J114" s="111">
        <f>+IF(J$2=$E114,$D114,IF(J$2&gt;J$257,0,IF($C114=J$2,"PAGAR"&amp;" "&amp;TEXT($B114," #.##0,00"),0)))</f>
        <v>0</v>
      </c>
      <c r="K114" s="111">
        <f>+IF(K$2=$E114,$D114,IF(K$2&gt;K$257,0,IF($C114=K$2,"PAGAR"&amp;" "&amp;TEXT($B114," #.##0,00"),0)))</f>
        <v>0</v>
      </c>
      <c r="L114" s="111">
        <f>+IF(L$2=$E114,$D114,IF(L$2&gt;L$257,0,IF($C114=L$2,"PAGAR"&amp;" "&amp;TEXT($B114," #.##0,00"),0)))</f>
        <v>0</v>
      </c>
      <c r="M114" s="111">
        <f>+IF(M$2=$E114,$D114,IF(M$2&gt;M$257,0,IF($C114=M$2,"PAGAR"&amp;" "&amp;TEXT($B114," #.##0,00"),0)))</f>
        <v>0</v>
      </c>
      <c r="N114" s="111">
        <f>+IF(N$2=$E114,$D114,IF(N$2&gt;N$257,0,IF($C114=N$2,"PAGAR"&amp;" "&amp;TEXT($B114," #.##0,00"),0)))</f>
        <v>0</v>
      </c>
      <c r="O114" s="111">
        <f>+IF(O$2=$E114,$D114,IF(O$2&gt;O$257,0,IF($C114=O$2,"PAGAR"&amp;" "&amp;TEXT($B114," #.##0,00"),0)))</f>
        <v>0</v>
      </c>
      <c r="P114" s="111">
        <f>+IF(P$2=$E114,$D114,IF(P$2&gt;P$257,0,IF($C114=P$2,"PAGAR"&amp;" "&amp;TEXT($B114," #.##0,00"),0)))</f>
        <v>0</v>
      </c>
      <c r="Q114" s="111">
        <f>+IF(Q$2=$E114,$D114,IF(Q$2&gt;Q$257,0,IF($C114=Q$2,"PAGAR"&amp;" "&amp;TEXT($B114," #.##0,00"),0)))</f>
        <v>0</v>
      </c>
      <c r="R114" s="111">
        <f>+IF(R$2=$E114,$D114,IF(R$2&gt;R$257,0,IF($C114=R$2,"PAGAR"&amp;" "&amp;TEXT($B114," #.##0,00"),0)))</f>
        <v>0</v>
      </c>
      <c r="S114" s="111">
        <f>+IF(S$2=$E114,$D114,IF(S$2&gt;S$257,0,IF($C114=S$2,"PAGAR"&amp;" "&amp;TEXT($B114," #.##0,00"),0)))</f>
        <v>0</v>
      </c>
      <c r="T114" s="111">
        <f>+IF(T$2=$E114,$D114,IF(T$2&gt;T$257,0,IF($C114=T$2,"PAGAR"&amp;" "&amp;TEXT($B114," #.##0,00"),0)))</f>
        <v>0</v>
      </c>
      <c r="U114" s="111">
        <f>+IF(U$2=$E114,$D114,IF(U$2&gt;U$257,0,IF($C114=U$2,"PAGAR"&amp;" "&amp;TEXT($B114," #.##0,00"),0)))</f>
        <v>0</v>
      </c>
      <c r="V114" s="111">
        <f>+IF(V$2=$E114,$D114,IF(V$2&gt;V$257,0,IF($C114=V$2,"PAGAR"&amp;" "&amp;TEXT($B114," #.##0,00"),0)))</f>
        <v>0</v>
      </c>
      <c r="W114" s="111">
        <f>+IF(W$2=$E114,$D114,IF(W$2&gt;W$257,0,IF($C114=W$2,"PAGAR"&amp;" "&amp;TEXT($B114," #.##0,00"),0)))</f>
        <v>0</v>
      </c>
      <c r="X114" s="111">
        <f>+IF(X$2=$E114,$D114,IF(X$2&gt;X$257,0,IF($C114=X$2,"PAGAR"&amp;" "&amp;TEXT($B114," #.##0,00"),0)))</f>
        <v>0</v>
      </c>
      <c r="Y114" s="111">
        <f>+IF(Y$2=$E114,$D114,IF(Y$2&gt;Y$257,0,IF($C114=Y$2,"PAGAR"&amp;" "&amp;TEXT($B114," #.##0,00"),0)))</f>
        <v>0</v>
      </c>
      <c r="Z114" s="111">
        <f>+IF(Z$2=$E114,$D114,IF(Z$2&gt;Z$257,0,IF($C114=Z$2,"PAGAR"&amp;" "&amp;TEXT($B114," #.##0,00"),0)))</f>
        <v>0</v>
      </c>
      <c r="AA114" s="111">
        <f>+IF(AA$2=$E114,$D114,IF(AA$2&gt;AA$257,0,IF($C114=AA$2,"PAGAR"&amp;" "&amp;TEXT($B114," #.##0,00"),0)))</f>
        <v>0</v>
      </c>
      <c r="AB114" s="111">
        <f>+IF(AB$2=$E114,$D114,IF(AB$2&gt;AB$257,0,IF($C114=AB$2,"PAGAR"&amp;" "&amp;TEXT($B114," #.##0,00"),0)))</f>
        <v>0</v>
      </c>
      <c r="AC114" s="111">
        <f>+IF(AC$2=$E114,$D114,IF(AC$2&gt;AC$257,0,IF($C114=AC$2,"PAGAR"&amp;" "&amp;TEXT($B114," #.##0,00"),0)))</f>
        <v>0</v>
      </c>
      <c r="AD114" s="111">
        <f>+IF(AD$2=$E114,$D114,IF(AD$2&gt;AD$257,0,IF($C114=AD$2,"PAGAR"&amp;" "&amp;TEXT($B114," #.##0,00"),0)))</f>
        <v>0</v>
      </c>
      <c r="AE114" s="111">
        <f>+IF(AE$2=$E114,$D114,IF(AE$2&gt;AE$257,0,IF($C114=AE$2,"PAGAR"&amp;" "&amp;TEXT($B114," #.##0,00"),0)))</f>
        <v>0</v>
      </c>
      <c r="AF114" s="111">
        <f>+IF(AF$2=$E114,$D114,IF(AF$2&gt;AF$257,0,IF($C114=AF$2,"PAGAR"&amp;" "&amp;TEXT($B114," #.##0,00"),0)))</f>
        <v>0</v>
      </c>
      <c r="AG114" s="111">
        <f>+IF(AG$2=$E114,$D114,IF(AG$2&gt;AG$257,0,IF($C114=AG$2,"PAGAR"&amp;" "&amp;TEXT($B114," #.##0,00"),0)))</f>
        <v>0</v>
      </c>
      <c r="AH114" s="111">
        <f>+IF(AH$2=$E114,$D114,IF(AH$2&gt;AH$257,0,IF($C114=AH$2,"PAGAR"&amp;" "&amp;TEXT($B114," #.##0,00"),0)))</f>
        <v>0</v>
      </c>
      <c r="AI114" s="111">
        <f>+IF(AI$2=$E114,$D114,IF(AI$2&gt;AI$257,0,IF($C114=AI$2,"PAGAR"&amp;" "&amp;TEXT($B114," #.##0,00"),0)))</f>
        <v>0</v>
      </c>
      <c r="AJ114" s="111">
        <f>+IF(AJ$2=$E114,$D114,IF(AJ$2&gt;AJ$257,0,IF($C114=AJ$2,"PAGAR"&amp;" "&amp;TEXT($B114," #.##0,00"),0)))</f>
        <v>0</v>
      </c>
      <c r="AK114" s="111">
        <f>+IF(AK$2=$E114,$D114,IF(AK$2&gt;AK$257,0,IF($C114=AK$2,"PAGAR"&amp;" "&amp;TEXT($B114," #.##0,00"),0)))</f>
        <v>0</v>
      </c>
      <c r="AL114" s="111">
        <f>+IF(AL$2=$E114,$D114,IF(AL$2&gt;AL$257,0,IF($C114=AL$2,"PAGAR"&amp;" "&amp;TEXT($B114," #.##0,00"),0)))</f>
        <v>0</v>
      </c>
      <c r="AM114" s="111">
        <f>+IF(AM$2=$E114,$D114,IF(AM$2&gt;AM$257,0,IF($C114=AM$2,"PAGAR"&amp;" "&amp;TEXT($B114," #.##0,00"),0)))</f>
        <v>0</v>
      </c>
      <c r="AN114" s="111">
        <f t="shared" ref="AN114:AN121" ca="1" si="25">+IF(F114&lt;0,-F114,0)</f>
        <v>0</v>
      </c>
      <c r="AO114" s="287">
        <f t="shared" ref="AO114:AO121" si="26">+IF(AND(C114=0,B114&gt;0),B114,0)</f>
        <v>0</v>
      </c>
    </row>
    <row r="115" spans="1:41" x14ac:dyDescent="0.25">
      <c r="A115" s="212" t="s">
        <v>168</v>
      </c>
      <c r="B115" s="90">
        <v>2750</v>
      </c>
      <c r="C115" s="91">
        <v>15</v>
      </c>
      <c r="D115" s="97"/>
      <c r="E115" s="166"/>
      <c r="F115" s="84">
        <f ca="1">+IF(TODAY()&lt;DATEVALUE(1&amp;D$1&amp;E$1),0,IF(C115&gt;0,IF(C115-SUM(I$255:AM$255)&lt;0,B115-SUM(I115:AM115,0),0),0))+IF(C115=-1,B115-SUM(J115:AM115))</f>
        <v>0</v>
      </c>
      <c r="G115" s="1">
        <f t="shared" si="24"/>
        <v>0</v>
      </c>
      <c r="H115" s="14"/>
      <c r="I115" s="111">
        <f>IF(I$2=$E115,$D115,IF(I$2&gt;I$257,0,IF($C115=I$2,"PAGAR"&amp;" "&amp;TEXT($B115," #.##0,00"),IF($C115=-1,"PAGAR"&amp;" "&amp;TEXT($B115," #.##0,00"),0))))</f>
        <v>0</v>
      </c>
      <c r="J115" s="111">
        <f>+IF(J$2=$E115,$D115,IF(J$2&gt;J$257,0,IF($C115=J$2,"PAGAR"&amp;" "&amp;TEXT($B115," #.##0,00"),0)))</f>
        <v>0</v>
      </c>
      <c r="K115" s="111">
        <f>+IF(K$2=$E115,$D115,IF(K$2&gt;K$257,0,IF($C115=K$2,"PAGAR"&amp;" "&amp;TEXT($B115," #.##0,00"),0)))</f>
        <v>0</v>
      </c>
      <c r="L115" s="111">
        <f>+IF(L$2=$E115,$D115,IF(L$2&gt;L$257,0,IF($C115=L$2,"PAGAR"&amp;" "&amp;TEXT($B115," #.##0,00"),0)))</f>
        <v>0</v>
      </c>
      <c r="M115" s="111">
        <f>+IF(M$2=$E115,$D115,IF(M$2&gt;M$257,0,IF($C115=M$2,"PAGAR"&amp;" "&amp;TEXT($B115," #.##0,00"),0)))</f>
        <v>0</v>
      </c>
      <c r="N115" s="111">
        <f>+IF(N$2=$E115,$D115,IF(N$2&gt;N$257,0,IF($C115=N$2,"PAGAR"&amp;" "&amp;TEXT($B115," #.##0,00"),0)))</f>
        <v>0</v>
      </c>
      <c r="O115" s="111">
        <f>+IF(O$2=$E115,$D115,IF(O$2&gt;O$257,0,IF($C115=O$2,"PAGAR"&amp;" "&amp;TEXT($B115," #.##0,00"),0)))</f>
        <v>0</v>
      </c>
      <c r="P115" s="111">
        <f>+IF(P$2=$E115,$D115,IF(P$2&gt;P$257,0,IF($C115=P$2,"PAGAR"&amp;" "&amp;TEXT($B115," #.##0,00"),0)))</f>
        <v>0</v>
      </c>
      <c r="Q115" s="111">
        <f>+IF(Q$2=$E115,$D115,IF(Q$2&gt;Q$257,0,IF($C115=Q$2,"PAGAR"&amp;" "&amp;TEXT($B115," #.##0,00"),0)))</f>
        <v>0</v>
      </c>
      <c r="R115" s="111">
        <f>+IF(R$2=$E115,$D115,IF(R$2&gt;R$257,0,IF($C115=R$2,"PAGAR"&amp;" "&amp;TEXT($B115," #.##0,00"),0)))</f>
        <v>0</v>
      </c>
      <c r="S115" s="111">
        <f>+IF(S$2=$E115,$D115,IF(S$2&gt;S$257,0,IF($C115=S$2,"PAGAR"&amp;" "&amp;TEXT($B115," #.##0,00"),0)))</f>
        <v>0</v>
      </c>
      <c r="T115" s="111">
        <f>+IF(T$2=$E115,$D115,IF(T$2&gt;T$257,0,IF($C115=T$2,"PAGAR"&amp;" "&amp;TEXT($B115," #.##0,00"),0)))</f>
        <v>0</v>
      </c>
      <c r="U115" s="111">
        <f>+IF(U$2=$E115,$D115,IF(U$2&gt;U$257,0,IF($C115=U$2,"PAGAR"&amp;" "&amp;TEXT($B115," #.##0,00"),0)))</f>
        <v>0</v>
      </c>
      <c r="V115" s="111">
        <f>+IF(V$2=$E115,$D115,IF(V$2&gt;V$257,0,IF($C115=V$2,"PAGAR"&amp;" "&amp;TEXT($B115," #.##0,00"),0)))</f>
        <v>0</v>
      </c>
      <c r="W115" s="111" t="str">
        <f>+IF(W$2=$E115,$D115,IF(W$2&gt;W$257,0,IF($C115=W$2,"PAGAR"&amp;" "&amp;TEXT($B115," #.##0,00"),0)))</f>
        <v>PAGAR  2.750,00</v>
      </c>
      <c r="X115" s="111">
        <f>+IF(X$2=$E115,$D115,IF(X$2&gt;X$257,0,IF($C115=X$2,"PAGAR"&amp;" "&amp;TEXT($B115," #.##0,00"),0)))</f>
        <v>0</v>
      </c>
      <c r="Y115" s="111">
        <f>+IF(Y$2=$E115,$D115,IF(Y$2&gt;Y$257,0,IF($C115=Y$2,"PAGAR"&amp;" "&amp;TEXT($B115," #.##0,00"),0)))</f>
        <v>0</v>
      </c>
      <c r="Z115" s="111">
        <f>+IF(Z$2=$E115,$D115,IF(Z$2&gt;Z$257,0,IF($C115=Z$2,"PAGAR"&amp;" "&amp;TEXT($B115," #.##0,00"),0)))</f>
        <v>0</v>
      </c>
      <c r="AA115" s="111">
        <f>+IF(AA$2=$E115,$D115,IF(AA$2&gt;AA$257,0,IF($C115=AA$2,"PAGAR"&amp;" "&amp;TEXT($B115," #.##0,00"),0)))</f>
        <v>0</v>
      </c>
      <c r="AB115" s="111">
        <f>+IF(AB$2=$E115,$D115,IF(AB$2&gt;AB$257,0,IF($C115=AB$2,"PAGAR"&amp;" "&amp;TEXT($B115," #.##0,00"),0)))</f>
        <v>0</v>
      </c>
      <c r="AC115" s="111">
        <f>+IF(AC$2=$E115,$D115,IF(AC$2&gt;AC$257,0,IF($C115=AC$2,"PAGAR"&amp;" "&amp;TEXT($B115," #.##0,00"),0)))</f>
        <v>0</v>
      </c>
      <c r="AD115" s="111">
        <f>+IF(AD$2=$E115,$D115,IF(AD$2&gt;AD$257,0,IF($C115=AD$2,"PAGAR"&amp;" "&amp;TEXT($B115," #.##0,00"),0)))</f>
        <v>0</v>
      </c>
      <c r="AE115" s="111">
        <f>+IF(AE$2=$E115,$D115,IF(AE$2&gt;AE$257,0,IF($C115=AE$2,"PAGAR"&amp;" "&amp;TEXT($B115," #.##0,00"),0)))</f>
        <v>0</v>
      </c>
      <c r="AF115" s="111">
        <f>+IF(AF$2=$E115,$D115,IF(AF$2&gt;AF$257,0,IF($C115=AF$2,"PAGAR"&amp;" "&amp;TEXT($B115," #.##0,00"),0)))</f>
        <v>0</v>
      </c>
      <c r="AG115" s="111">
        <f>+IF(AG$2=$E115,$D115,IF(AG$2&gt;AG$257,0,IF($C115=AG$2,"PAGAR"&amp;" "&amp;TEXT($B115," #.##0,00"),0)))</f>
        <v>0</v>
      </c>
      <c r="AH115" s="111">
        <f>+IF(AH$2=$E115,$D115,IF(AH$2&gt;AH$257,0,IF($C115=AH$2,"PAGAR"&amp;" "&amp;TEXT($B115," #.##0,00"),0)))</f>
        <v>0</v>
      </c>
      <c r="AI115" s="111">
        <f>+IF(AI$2=$E115,$D115,IF(AI$2&gt;AI$257,0,IF($C115=AI$2,"PAGAR"&amp;" "&amp;TEXT($B115," #.##0,00"),0)))</f>
        <v>0</v>
      </c>
      <c r="AJ115" s="111">
        <f>+IF(AJ$2=$E115,$D115,IF(AJ$2&gt;AJ$257,0,IF($C115=AJ$2,"PAGAR"&amp;" "&amp;TEXT($B115," #.##0,00"),0)))</f>
        <v>0</v>
      </c>
      <c r="AK115" s="111">
        <f>+IF(AK$2=$E115,$D115,IF(AK$2&gt;AK$257,0,IF($C115=AK$2,"PAGAR"&amp;" "&amp;TEXT($B115," #.##0,00"),0)))</f>
        <v>0</v>
      </c>
      <c r="AL115" s="111">
        <f>+IF(AL$2=$E115,$D115,IF(AL$2&gt;AL$257,0,IF($C115=AL$2,"PAGAR"&amp;" "&amp;TEXT($B115," #.##0,00"),0)))</f>
        <v>0</v>
      </c>
      <c r="AM115" s="111">
        <f>+IF(AM$2=$E115,$D115,IF(AM$2&gt;AM$257,0,IF($C115=AM$2,"PAGAR"&amp;" "&amp;TEXT($B115," #.##0,00"),0)))</f>
        <v>0</v>
      </c>
      <c r="AN115" s="111">
        <f t="shared" ca="1" si="25"/>
        <v>0</v>
      </c>
      <c r="AO115" s="287">
        <f t="shared" si="26"/>
        <v>0</v>
      </c>
    </row>
    <row r="116" spans="1:41" x14ac:dyDescent="0.25">
      <c r="A116" s="212"/>
      <c r="B116" s="90"/>
      <c r="C116" s="91"/>
      <c r="D116" s="97"/>
      <c r="E116" s="166"/>
      <c r="F116" s="84">
        <f ca="1">+IF(TODAY()&lt;DATEVALUE(1&amp;D$1&amp;E$1),0,IF(C116&gt;0,IF(C116-SUM(I$255:AM$255)&lt;0,B116-SUM(I116:AM116,0),0),0))+IF(C116=-1,B116-SUM(J116:AM116))</f>
        <v>0</v>
      </c>
      <c r="G116" s="1" t="str">
        <f t="shared" si="24"/>
        <v>-</v>
      </c>
      <c r="H116" s="14"/>
      <c r="I116" s="111">
        <f>IF(I$2=$E116,$D116,IF(I$2&gt;I$257,0,IF($C116=I$2,"PAGAR"&amp;" "&amp;TEXT($B116," #.##0,00"),IF($C116=-1,"PAGAR"&amp;" "&amp;TEXT($B116," #.##0,00"),0))))</f>
        <v>0</v>
      </c>
      <c r="J116" s="111">
        <f>+IF(J$2=$E116,$D116,IF(J$2&gt;J$257,0,IF($C116=J$2,"PAGAR"&amp;" "&amp;TEXT($B116," #.##0,00"),0)))</f>
        <v>0</v>
      </c>
      <c r="K116" s="111">
        <f>+IF(K$2=$E116,$D116,IF(K$2&gt;K$257,0,IF($C116=K$2,"PAGAR"&amp;" "&amp;TEXT($B116," #.##0,00"),0)))</f>
        <v>0</v>
      </c>
      <c r="L116" s="111">
        <f>+IF(L$2=$E116,$D116,IF(L$2&gt;L$257,0,IF($C116=L$2,"PAGAR"&amp;" "&amp;TEXT($B116," #.##0,00"),0)))</f>
        <v>0</v>
      </c>
      <c r="M116" s="111">
        <f>+IF(M$2=$E116,$D116,IF(M$2&gt;M$257,0,IF($C116=M$2,"PAGAR"&amp;" "&amp;TEXT($B116," #.##0,00"),0)))</f>
        <v>0</v>
      </c>
      <c r="N116" s="111">
        <f>+IF(N$2=$E116,$D116,IF(N$2&gt;N$257,0,IF($C116=N$2,"PAGAR"&amp;" "&amp;TEXT($B116," #.##0,00"),0)))</f>
        <v>0</v>
      </c>
      <c r="O116" s="111">
        <f>+IF(O$2=$E116,$D116,IF(O$2&gt;O$257,0,IF($C116=O$2,"PAGAR"&amp;" "&amp;TEXT($B116," #.##0,00"),0)))</f>
        <v>0</v>
      </c>
      <c r="P116" s="111">
        <f>+IF(P$2=$E116,$D116,IF(P$2&gt;P$257,0,IF($C116=P$2,"PAGAR"&amp;" "&amp;TEXT($B116," #.##0,00"),0)))</f>
        <v>0</v>
      </c>
      <c r="Q116" s="111">
        <f>+IF(Q$2=$E116,$D116,IF(Q$2&gt;Q$257,0,IF($C116=Q$2,"PAGAR"&amp;" "&amp;TEXT($B116," #.##0,00"),0)))</f>
        <v>0</v>
      </c>
      <c r="R116" s="111">
        <f>+IF(R$2=$E116,$D116,IF(R$2&gt;R$257,0,IF($C116=R$2,"PAGAR"&amp;" "&amp;TEXT($B116," #.##0,00"),0)))</f>
        <v>0</v>
      </c>
      <c r="S116" s="111">
        <f>+IF(S$2=$E116,$D116,IF(S$2&gt;S$257,0,IF($C116=S$2,"PAGAR"&amp;" "&amp;TEXT($B116," #.##0,00"),0)))</f>
        <v>0</v>
      </c>
      <c r="T116" s="111">
        <f>+IF(T$2=$E116,$D116,IF(T$2&gt;T$257,0,IF($C116=T$2,"PAGAR"&amp;" "&amp;TEXT($B116," #.##0,00"),0)))</f>
        <v>0</v>
      </c>
      <c r="U116" s="111">
        <f>+IF(U$2=$E116,$D116,IF(U$2&gt;U$257,0,IF($C116=U$2,"PAGAR"&amp;" "&amp;TEXT($B116," #.##0,00"),0)))</f>
        <v>0</v>
      </c>
      <c r="V116" s="111">
        <f>+IF(V$2=$E116,$D116,IF(V$2&gt;V$257,0,IF($C116=V$2,"PAGAR"&amp;" "&amp;TEXT($B116," #.##0,00"),0)))</f>
        <v>0</v>
      </c>
      <c r="W116" s="111">
        <f>+IF(W$2=$E116,$D116,IF(W$2&gt;W$257,0,IF($C116=W$2,"PAGAR"&amp;" "&amp;TEXT($B116," #.##0,00"),0)))</f>
        <v>0</v>
      </c>
      <c r="X116" s="111">
        <f>+IF(X$2=$E116,$D116,IF(X$2&gt;X$257,0,IF($C116=X$2,"PAGAR"&amp;" "&amp;TEXT($B116," #.##0,00"),0)))</f>
        <v>0</v>
      </c>
      <c r="Y116" s="111">
        <f>+IF(Y$2=$E116,$D116,IF(Y$2&gt;Y$257,0,IF($C116=Y$2,"PAGAR"&amp;" "&amp;TEXT($B116," #.##0,00"),0)))</f>
        <v>0</v>
      </c>
      <c r="Z116" s="111">
        <f>+IF(Z$2=$E116,$D116,IF(Z$2&gt;Z$257,0,IF($C116=Z$2,"PAGAR"&amp;" "&amp;TEXT($B116," #.##0,00"),0)))</f>
        <v>0</v>
      </c>
      <c r="AA116" s="111">
        <f>+IF(AA$2=$E116,$D116,IF(AA$2&gt;AA$257,0,IF($C116=AA$2,"PAGAR"&amp;" "&amp;TEXT($B116," #.##0,00"),0)))</f>
        <v>0</v>
      </c>
      <c r="AB116" s="111">
        <f>+IF(AB$2=$E116,$D116,IF(AB$2&gt;AB$257,0,IF($C116=AB$2,"PAGAR"&amp;" "&amp;TEXT($B116," #.##0,00"),0)))</f>
        <v>0</v>
      </c>
      <c r="AC116" s="111">
        <f>+IF(AC$2=$E116,$D116,IF(AC$2&gt;AC$257,0,IF($C116=AC$2,"PAGAR"&amp;" "&amp;TEXT($B116," #.##0,00"),0)))</f>
        <v>0</v>
      </c>
      <c r="AD116" s="111">
        <f>+IF(AD$2=$E116,$D116,IF(AD$2&gt;AD$257,0,IF($C116=AD$2,"PAGAR"&amp;" "&amp;TEXT($B116," #.##0,00"),0)))</f>
        <v>0</v>
      </c>
      <c r="AE116" s="111">
        <f>+IF(AE$2=$E116,$D116,IF(AE$2&gt;AE$257,0,IF($C116=AE$2,"PAGAR"&amp;" "&amp;TEXT($B116," #.##0,00"),0)))</f>
        <v>0</v>
      </c>
      <c r="AF116" s="111">
        <f>+IF(AF$2=$E116,$D116,IF(AF$2&gt;AF$257,0,IF($C116=AF$2,"PAGAR"&amp;" "&amp;TEXT($B116," #.##0,00"),0)))</f>
        <v>0</v>
      </c>
      <c r="AG116" s="111">
        <f>+IF(AG$2=$E116,$D116,IF(AG$2&gt;AG$257,0,IF($C116=AG$2,"PAGAR"&amp;" "&amp;TEXT($B116," #.##0,00"),0)))</f>
        <v>0</v>
      </c>
      <c r="AH116" s="111">
        <f>+IF(AH$2=$E116,$D116,IF(AH$2&gt;AH$257,0,IF($C116=AH$2,"PAGAR"&amp;" "&amp;TEXT($B116," #.##0,00"),0)))</f>
        <v>0</v>
      </c>
      <c r="AI116" s="111">
        <f>+IF(AI$2=$E116,$D116,IF(AI$2&gt;AI$257,0,IF($C116=AI$2,"PAGAR"&amp;" "&amp;TEXT($B116," #.##0,00"),0)))</f>
        <v>0</v>
      </c>
      <c r="AJ116" s="111">
        <f>+IF(AJ$2=$E116,$D116,IF(AJ$2&gt;AJ$257,0,IF($C116=AJ$2,"PAGAR"&amp;" "&amp;TEXT($B116," #.##0,00"),0)))</f>
        <v>0</v>
      </c>
      <c r="AK116" s="111">
        <f>+IF(AK$2=$E116,$D116,IF(AK$2&gt;AK$257,0,IF($C116=AK$2,"PAGAR"&amp;" "&amp;TEXT($B116," #.##0,00"),0)))</f>
        <v>0</v>
      </c>
      <c r="AL116" s="111">
        <f>+IF(AL$2=$E116,$D116,IF(AL$2&gt;AL$257,0,IF($C116=AL$2,"PAGAR"&amp;" "&amp;TEXT($B116," #.##0,00"),0)))</f>
        <v>0</v>
      </c>
      <c r="AM116" s="111">
        <f>+IF(AM$2=$E116,$D116,IF(AM$2&gt;AM$257,0,IF($C116=AM$2,"PAGAR"&amp;" "&amp;TEXT($B116," #.##0,00"),0)))</f>
        <v>0</v>
      </c>
      <c r="AN116" s="111">
        <f t="shared" ca="1" si="25"/>
        <v>0</v>
      </c>
      <c r="AO116" s="287">
        <f t="shared" si="26"/>
        <v>0</v>
      </c>
    </row>
    <row r="117" spans="1:41" x14ac:dyDescent="0.25">
      <c r="A117" s="212"/>
      <c r="B117" s="90"/>
      <c r="C117" s="91"/>
      <c r="D117" s="97"/>
      <c r="E117" s="166"/>
      <c r="F117" s="84">
        <f ca="1">+IF(TODAY()&lt;DATEVALUE(1&amp;D$1&amp;E$1),0,IF(C117&gt;0,IF(C117-SUM(I$255:AM$255)&lt;0,B117-SUM(I117:AM117,0),0),0))+IF(C117=-1,B117-SUM(J117:AM117))</f>
        <v>0</v>
      </c>
      <c r="G117" s="1" t="str">
        <f t="shared" si="24"/>
        <v>-</v>
      </c>
      <c r="H117" s="14"/>
      <c r="I117" s="111">
        <f>IF(I$2=$E117,$D117,IF(I$2&gt;I$257,0,IF($C117=I$2,"PAGAR"&amp;" "&amp;TEXT($B117," #.##0,00"),IF($C117=-1,"PAGAR"&amp;" "&amp;TEXT($B117," #.##0,00"),0))))</f>
        <v>0</v>
      </c>
      <c r="J117" s="111">
        <f>+IF(J$2=$E117,$D117,IF(J$2&gt;J$257,0,IF($C117=J$2,"PAGAR"&amp;" "&amp;TEXT($B117," #.##0,00"),0)))</f>
        <v>0</v>
      </c>
      <c r="K117" s="111">
        <f>+IF(K$2=$E117,$D117,IF(K$2&gt;K$257,0,IF($C117=K$2,"PAGAR"&amp;" "&amp;TEXT($B117," #.##0,00"),0)))</f>
        <v>0</v>
      </c>
      <c r="L117" s="111">
        <f>+IF(L$2=$E117,$D117,IF(L$2&gt;L$257,0,IF($C117=L$2,"PAGAR"&amp;" "&amp;TEXT($B117," #.##0,00"),0)))</f>
        <v>0</v>
      </c>
      <c r="M117" s="111">
        <f>+IF(M$2=$E117,$D117,IF(M$2&gt;M$257,0,IF($C117=M$2,"PAGAR"&amp;" "&amp;TEXT($B117," #.##0,00"),0)))</f>
        <v>0</v>
      </c>
      <c r="N117" s="111">
        <f>+IF(N$2=$E117,$D117,IF(N$2&gt;N$257,0,IF($C117=N$2,"PAGAR"&amp;" "&amp;TEXT($B117," #.##0,00"),0)))</f>
        <v>0</v>
      </c>
      <c r="O117" s="111">
        <f>+IF(O$2=$E117,$D117,IF(O$2&gt;O$257,0,IF($C117=O$2,"PAGAR"&amp;" "&amp;TEXT($B117," #.##0,00"),0)))</f>
        <v>0</v>
      </c>
      <c r="P117" s="111">
        <f>+IF(P$2=$E117,$D117,IF(P$2&gt;P$257,0,IF($C117=P$2,"PAGAR"&amp;" "&amp;TEXT($B117," #.##0,00"),0)))</f>
        <v>0</v>
      </c>
      <c r="Q117" s="111">
        <f>+IF(Q$2=$E117,$D117,IF(Q$2&gt;Q$257,0,IF($C117=Q$2,"PAGAR"&amp;" "&amp;TEXT($B117," #.##0,00"),0)))</f>
        <v>0</v>
      </c>
      <c r="R117" s="111">
        <f>+IF(R$2=$E117,$D117,IF(R$2&gt;R$257,0,IF($C117=R$2,"PAGAR"&amp;" "&amp;TEXT($B117," #.##0,00"),0)))</f>
        <v>0</v>
      </c>
      <c r="S117" s="111">
        <f>+IF(S$2=$E117,$D117,IF(S$2&gt;S$257,0,IF($C117=S$2,"PAGAR"&amp;" "&amp;TEXT($B117," #.##0,00"),0)))</f>
        <v>0</v>
      </c>
      <c r="T117" s="111">
        <f>+IF(T$2=$E117,$D117,IF(T$2&gt;T$257,0,IF($C117=T$2,"PAGAR"&amp;" "&amp;TEXT($B117," #.##0,00"),0)))</f>
        <v>0</v>
      </c>
      <c r="U117" s="111">
        <f>+IF(U$2=$E117,$D117,IF(U$2&gt;U$257,0,IF($C117=U$2,"PAGAR"&amp;" "&amp;TEXT($B117," #.##0,00"),0)))</f>
        <v>0</v>
      </c>
      <c r="V117" s="111">
        <f>+IF(V$2=$E117,$D117,IF(V$2&gt;V$257,0,IF($C117=V$2,"PAGAR"&amp;" "&amp;TEXT($B117," #.##0,00"),0)))</f>
        <v>0</v>
      </c>
      <c r="W117" s="111">
        <f>+IF(W$2=$E117,$D117,IF(W$2&gt;W$257,0,IF($C117=W$2,"PAGAR"&amp;" "&amp;TEXT($B117," #.##0,00"),0)))</f>
        <v>0</v>
      </c>
      <c r="X117" s="111">
        <f>+IF(X$2=$E117,$D117,IF(X$2&gt;X$257,0,IF($C117=X$2,"PAGAR"&amp;" "&amp;TEXT($B117," #.##0,00"),0)))</f>
        <v>0</v>
      </c>
      <c r="Y117" s="111">
        <f>+IF(Y$2=$E117,$D117,IF(Y$2&gt;Y$257,0,IF($C117=Y$2,"PAGAR"&amp;" "&amp;TEXT($B117," #.##0,00"),0)))</f>
        <v>0</v>
      </c>
      <c r="Z117" s="111">
        <f>+IF(Z$2=$E117,$D117,IF(Z$2&gt;Z$257,0,IF($C117=Z$2,"PAGAR"&amp;" "&amp;TEXT($B117," #.##0,00"),0)))</f>
        <v>0</v>
      </c>
      <c r="AA117" s="111">
        <f>+IF(AA$2=$E117,$D117,IF(AA$2&gt;AA$257,0,IF($C117=AA$2,"PAGAR"&amp;" "&amp;TEXT($B117," #.##0,00"),0)))</f>
        <v>0</v>
      </c>
      <c r="AB117" s="111">
        <f>+IF(AB$2=$E117,$D117,IF(AB$2&gt;AB$257,0,IF($C117=AB$2,"PAGAR"&amp;" "&amp;TEXT($B117," #.##0,00"),0)))</f>
        <v>0</v>
      </c>
      <c r="AC117" s="111">
        <f>+IF(AC$2=$E117,$D117,IF(AC$2&gt;AC$257,0,IF($C117=AC$2,"PAGAR"&amp;" "&amp;TEXT($B117," #.##0,00"),0)))</f>
        <v>0</v>
      </c>
      <c r="AD117" s="111">
        <f>+IF(AD$2=$E117,$D117,IF(AD$2&gt;AD$257,0,IF($C117=AD$2,"PAGAR"&amp;" "&amp;TEXT($B117," #.##0,00"),0)))</f>
        <v>0</v>
      </c>
      <c r="AE117" s="111">
        <f>+IF(AE$2=$E117,$D117,IF(AE$2&gt;AE$257,0,IF($C117=AE$2,"PAGAR"&amp;" "&amp;TEXT($B117," #.##0,00"),0)))</f>
        <v>0</v>
      </c>
      <c r="AF117" s="111">
        <f>+IF(AF$2=$E117,$D117,IF(AF$2&gt;AF$257,0,IF($C117=AF$2,"PAGAR"&amp;" "&amp;TEXT($B117," #.##0,00"),0)))</f>
        <v>0</v>
      </c>
      <c r="AG117" s="111">
        <f>+IF(AG$2=$E117,$D117,IF(AG$2&gt;AG$257,0,IF($C117=AG$2,"PAGAR"&amp;" "&amp;TEXT($B117," #.##0,00"),0)))</f>
        <v>0</v>
      </c>
      <c r="AH117" s="111">
        <f>+IF(AH$2=$E117,$D117,IF(AH$2&gt;AH$257,0,IF($C117=AH$2,"PAGAR"&amp;" "&amp;TEXT($B117," #.##0,00"),0)))</f>
        <v>0</v>
      </c>
      <c r="AI117" s="111">
        <f>+IF(AI$2=$E117,$D117,IF(AI$2&gt;AI$257,0,IF($C117=AI$2,"PAGAR"&amp;" "&amp;TEXT($B117," #.##0,00"),0)))</f>
        <v>0</v>
      </c>
      <c r="AJ117" s="111">
        <f>+IF(AJ$2=$E117,$D117,IF(AJ$2&gt;AJ$257,0,IF($C117=AJ$2,"PAGAR"&amp;" "&amp;TEXT($B117," #.##0,00"),0)))</f>
        <v>0</v>
      </c>
      <c r="AK117" s="111">
        <f>+IF(AK$2=$E117,$D117,IF(AK$2&gt;AK$257,0,IF($C117=AK$2,"PAGAR"&amp;" "&amp;TEXT($B117," #.##0,00"),0)))</f>
        <v>0</v>
      </c>
      <c r="AL117" s="111">
        <f>+IF(AL$2=$E117,$D117,IF(AL$2&gt;AL$257,0,IF($C117=AL$2,"PAGAR"&amp;" "&amp;TEXT($B117," #.##0,00"),0)))</f>
        <v>0</v>
      </c>
      <c r="AM117" s="111">
        <f>+IF(AM$2=$E117,$D117,IF(AM$2&gt;AM$257,0,IF($C117=AM$2,"PAGAR"&amp;" "&amp;TEXT($B117," #.##0,00"),0)))</f>
        <v>0</v>
      </c>
      <c r="AN117" s="111">
        <f t="shared" ca="1" si="25"/>
        <v>0</v>
      </c>
      <c r="AO117" s="287">
        <f t="shared" si="26"/>
        <v>0</v>
      </c>
    </row>
    <row r="118" spans="1:41" x14ac:dyDescent="0.25">
      <c r="A118" s="212"/>
      <c r="B118" s="90"/>
      <c r="C118" s="91"/>
      <c r="D118" s="97"/>
      <c r="E118" s="166"/>
      <c r="F118" s="84">
        <f ca="1">+IF(TODAY()&lt;DATEVALUE(1&amp;D$1&amp;E$1),0,IF(C118&gt;0,IF(C118-SUM(I$255:AM$255)&lt;0,B118-SUM(I118:AM118,0),0),0))+IF(C118=-1,B118-SUM(J118:AM118))</f>
        <v>0</v>
      </c>
      <c r="G118" s="1" t="str">
        <f t="shared" si="24"/>
        <v>-</v>
      </c>
      <c r="H118" s="14"/>
      <c r="I118" s="111">
        <f>IF(I$2=$E118,$D118,IF(I$2&gt;I$257,0,IF($C118=I$2,"PAGAR"&amp;" "&amp;TEXT($B118," #.##0,00"),IF($C118=-1,"PAGAR"&amp;" "&amp;TEXT($B118," #.##0,00"),0))))</f>
        <v>0</v>
      </c>
      <c r="J118" s="111">
        <f>+IF(J$2=$E118,$D118,IF(J$2&gt;J$257,0,IF($C118=J$2,"PAGAR"&amp;" "&amp;TEXT($B118," #.##0,00"),0)))</f>
        <v>0</v>
      </c>
      <c r="K118" s="111">
        <f>+IF(K$2=$E118,$D118,IF(K$2&gt;K$257,0,IF($C118=K$2,"PAGAR"&amp;" "&amp;TEXT($B118," #.##0,00"),0)))</f>
        <v>0</v>
      </c>
      <c r="L118" s="111">
        <f>+IF(L$2=$E118,$D118,IF(L$2&gt;L$257,0,IF($C118=L$2,"PAGAR"&amp;" "&amp;TEXT($B118," #.##0,00"),0)))</f>
        <v>0</v>
      </c>
      <c r="M118" s="111">
        <f>+IF(M$2=$E118,$D118,IF(M$2&gt;M$257,0,IF($C118=M$2,"PAGAR"&amp;" "&amp;TEXT($B118," #.##0,00"),0)))</f>
        <v>0</v>
      </c>
      <c r="N118" s="111">
        <f>+IF(N$2=$E118,$D118,IF(N$2&gt;N$257,0,IF($C118=N$2,"PAGAR"&amp;" "&amp;TEXT($B118," #.##0,00"),0)))</f>
        <v>0</v>
      </c>
      <c r="O118" s="111">
        <f>+IF(O$2=$E118,$D118,IF(O$2&gt;O$257,0,IF($C118=O$2,"PAGAR"&amp;" "&amp;TEXT($B118," #.##0,00"),0)))</f>
        <v>0</v>
      </c>
      <c r="P118" s="111">
        <f>+IF(P$2=$E118,$D118,IF(P$2&gt;P$257,0,IF($C118=P$2,"PAGAR"&amp;" "&amp;TEXT($B118," #.##0,00"),0)))</f>
        <v>0</v>
      </c>
      <c r="Q118" s="111">
        <f>+IF(Q$2=$E118,$D118,IF(Q$2&gt;Q$257,0,IF($C118=Q$2,"PAGAR"&amp;" "&amp;TEXT($B118," #.##0,00"),0)))</f>
        <v>0</v>
      </c>
      <c r="R118" s="111">
        <f>+IF(R$2=$E118,$D118,IF(R$2&gt;R$257,0,IF($C118=R$2,"PAGAR"&amp;" "&amp;TEXT($B118," #.##0,00"),0)))</f>
        <v>0</v>
      </c>
      <c r="S118" s="111">
        <f>+IF(S$2=$E118,$D118,IF(S$2&gt;S$257,0,IF($C118=S$2,"PAGAR"&amp;" "&amp;TEXT($B118," #.##0,00"),0)))</f>
        <v>0</v>
      </c>
      <c r="T118" s="111">
        <f>+IF(T$2=$E118,$D118,IF(T$2&gt;T$257,0,IF($C118=T$2,"PAGAR"&amp;" "&amp;TEXT($B118," #.##0,00"),0)))</f>
        <v>0</v>
      </c>
      <c r="U118" s="111">
        <f>+IF(U$2=$E118,$D118,IF(U$2&gt;U$257,0,IF($C118=U$2,"PAGAR"&amp;" "&amp;TEXT($B118," #.##0,00"),0)))</f>
        <v>0</v>
      </c>
      <c r="V118" s="111">
        <f>+IF(V$2=$E118,$D118,IF(V$2&gt;V$257,0,IF($C118=V$2,"PAGAR"&amp;" "&amp;TEXT($B118," #.##0,00"),0)))</f>
        <v>0</v>
      </c>
      <c r="W118" s="111">
        <f>+IF(W$2=$E118,$D118,IF(W$2&gt;W$257,0,IF($C118=W$2,"PAGAR"&amp;" "&amp;TEXT($B118," #.##0,00"),0)))</f>
        <v>0</v>
      </c>
      <c r="X118" s="111">
        <f>+IF(X$2=$E118,$D118,IF(X$2&gt;X$257,0,IF($C118=X$2,"PAGAR"&amp;" "&amp;TEXT($B118," #.##0,00"),0)))</f>
        <v>0</v>
      </c>
      <c r="Y118" s="111">
        <f>+IF(Y$2=$E118,$D118,IF(Y$2&gt;Y$257,0,IF($C118=Y$2,"PAGAR"&amp;" "&amp;TEXT($B118," #.##0,00"),0)))</f>
        <v>0</v>
      </c>
      <c r="Z118" s="111">
        <f>+IF(Z$2=$E118,$D118,IF(Z$2&gt;Z$257,0,IF($C118=Z$2,"PAGAR"&amp;" "&amp;TEXT($B118," #.##0,00"),0)))</f>
        <v>0</v>
      </c>
      <c r="AA118" s="111">
        <f>+IF(AA$2=$E118,$D118,IF(AA$2&gt;AA$257,0,IF($C118=AA$2,"PAGAR"&amp;" "&amp;TEXT($B118," #.##0,00"),0)))</f>
        <v>0</v>
      </c>
      <c r="AB118" s="111">
        <f>+IF(AB$2=$E118,$D118,IF(AB$2&gt;AB$257,0,IF($C118=AB$2,"PAGAR"&amp;" "&amp;TEXT($B118," #.##0,00"),0)))</f>
        <v>0</v>
      </c>
      <c r="AC118" s="111">
        <f>+IF(AC$2=$E118,$D118,IF(AC$2&gt;AC$257,0,IF($C118=AC$2,"PAGAR"&amp;" "&amp;TEXT($B118," #.##0,00"),0)))</f>
        <v>0</v>
      </c>
      <c r="AD118" s="111">
        <f>+IF(AD$2=$E118,$D118,IF(AD$2&gt;AD$257,0,IF($C118=AD$2,"PAGAR"&amp;" "&amp;TEXT($B118," #.##0,00"),0)))</f>
        <v>0</v>
      </c>
      <c r="AE118" s="111">
        <f>+IF(AE$2=$E118,$D118,IF(AE$2&gt;AE$257,0,IF($C118=AE$2,"PAGAR"&amp;" "&amp;TEXT($B118," #.##0,00"),0)))</f>
        <v>0</v>
      </c>
      <c r="AF118" s="111">
        <f>+IF(AF$2=$E118,$D118,IF(AF$2&gt;AF$257,0,IF($C118=AF$2,"PAGAR"&amp;" "&amp;TEXT($B118," #.##0,00"),0)))</f>
        <v>0</v>
      </c>
      <c r="AG118" s="111">
        <f>+IF(AG$2=$E118,$D118,IF(AG$2&gt;AG$257,0,IF($C118=AG$2,"PAGAR"&amp;" "&amp;TEXT($B118," #.##0,00"),0)))</f>
        <v>0</v>
      </c>
      <c r="AH118" s="111">
        <f>+IF(AH$2=$E118,$D118,IF(AH$2&gt;AH$257,0,IF($C118=AH$2,"PAGAR"&amp;" "&amp;TEXT($B118," #.##0,00"),0)))</f>
        <v>0</v>
      </c>
      <c r="AI118" s="111">
        <f>+IF(AI$2=$E118,$D118,IF(AI$2&gt;AI$257,0,IF($C118=AI$2,"PAGAR"&amp;" "&amp;TEXT($B118," #.##0,00"),0)))</f>
        <v>0</v>
      </c>
      <c r="AJ118" s="111">
        <f>+IF(AJ$2=$E118,$D118,IF(AJ$2&gt;AJ$257,0,IF($C118=AJ$2,"PAGAR"&amp;" "&amp;TEXT($B118," #.##0,00"),0)))</f>
        <v>0</v>
      </c>
      <c r="AK118" s="111">
        <f>+IF(AK$2=$E118,$D118,IF(AK$2&gt;AK$257,0,IF($C118=AK$2,"PAGAR"&amp;" "&amp;TEXT($B118," #.##0,00"),0)))</f>
        <v>0</v>
      </c>
      <c r="AL118" s="111">
        <f>+IF(AL$2=$E118,$D118,IF(AL$2&gt;AL$257,0,IF($C118=AL$2,"PAGAR"&amp;" "&amp;TEXT($B118," #.##0,00"),0)))</f>
        <v>0</v>
      </c>
      <c r="AM118" s="111">
        <f>+IF(AM$2=$E118,$D118,IF(AM$2&gt;AM$257,0,IF($C118=AM$2,"PAGAR"&amp;" "&amp;TEXT($B118," #.##0,00"),0)))</f>
        <v>0</v>
      </c>
      <c r="AN118" s="111">
        <f t="shared" ca="1" si="25"/>
        <v>0</v>
      </c>
      <c r="AO118" s="287">
        <f t="shared" si="26"/>
        <v>0</v>
      </c>
    </row>
    <row r="119" spans="1:41" x14ac:dyDescent="0.25">
      <c r="A119" s="212"/>
      <c r="B119" s="90"/>
      <c r="C119" s="91"/>
      <c r="D119" s="97"/>
      <c r="E119" s="166"/>
      <c r="F119" s="84">
        <f ca="1">+IF(TODAY()&lt;DATEVALUE(1&amp;D$1&amp;E$1),0,IF(C119&gt;0,IF(C119-SUM(I$255:AM$255)&lt;0,B119-SUM(I119:AM119,0),0),0))+IF(C119=-1,B119-SUM(J119:AM119))</f>
        <v>0</v>
      </c>
      <c r="G119" s="1" t="str">
        <f t="shared" si="24"/>
        <v>-</v>
      </c>
      <c r="H119" s="14"/>
      <c r="I119" s="111">
        <f>IF(I$2=$E119,$D119,IF(I$2&gt;I$257,0,IF($C119=I$2,"PAGAR"&amp;" "&amp;TEXT($B119," #.##0,00"),IF($C119=-1,"PAGAR"&amp;" "&amp;TEXT($B119," #.##0,00"),0))))</f>
        <v>0</v>
      </c>
      <c r="J119" s="111">
        <f>+IF(J$2=$E119,$D119,IF(J$2&gt;J$257,0,IF($C119=J$2,"PAGAR"&amp;" "&amp;TEXT($B119," #.##0,00"),0)))</f>
        <v>0</v>
      </c>
      <c r="K119" s="111">
        <f>+IF(K$2=$E119,$D119,IF(K$2&gt;K$257,0,IF($C119=K$2,"PAGAR"&amp;" "&amp;TEXT($B119," #.##0,00"),0)))</f>
        <v>0</v>
      </c>
      <c r="L119" s="111">
        <f>+IF(L$2=$E119,$D119,IF(L$2&gt;L$257,0,IF($C119=L$2,"PAGAR"&amp;" "&amp;TEXT($B119," #.##0,00"),0)))</f>
        <v>0</v>
      </c>
      <c r="M119" s="111">
        <f>+IF(M$2=$E119,$D119,IF(M$2&gt;M$257,0,IF($C119=M$2,"PAGAR"&amp;" "&amp;TEXT($B119," #.##0,00"),0)))</f>
        <v>0</v>
      </c>
      <c r="N119" s="111">
        <f>+IF(N$2=$E119,$D119,IF(N$2&gt;N$257,0,IF($C119=N$2,"PAGAR"&amp;" "&amp;TEXT($B119," #.##0,00"),0)))</f>
        <v>0</v>
      </c>
      <c r="O119" s="111">
        <f>+IF(O$2=$E119,$D119,IF(O$2&gt;O$257,0,IF($C119=O$2,"PAGAR"&amp;" "&amp;TEXT($B119," #.##0,00"),0)))</f>
        <v>0</v>
      </c>
      <c r="P119" s="111">
        <f>+IF(P$2=$E119,$D119,IF(P$2&gt;P$257,0,IF($C119=P$2,"PAGAR"&amp;" "&amp;TEXT($B119," #.##0,00"),0)))</f>
        <v>0</v>
      </c>
      <c r="Q119" s="111">
        <f>+IF(Q$2=$E119,$D119,IF(Q$2&gt;Q$257,0,IF($C119=Q$2,"PAGAR"&amp;" "&amp;TEXT($B119," #.##0,00"),0)))</f>
        <v>0</v>
      </c>
      <c r="R119" s="111">
        <f>+IF(R$2=$E119,$D119,IF(R$2&gt;R$257,0,IF($C119=R$2,"PAGAR"&amp;" "&amp;TEXT($B119," #.##0,00"),0)))</f>
        <v>0</v>
      </c>
      <c r="S119" s="111">
        <f>+IF(S$2=$E119,$D119,IF(S$2&gt;S$257,0,IF($C119=S$2,"PAGAR"&amp;" "&amp;TEXT($B119," #.##0,00"),0)))</f>
        <v>0</v>
      </c>
      <c r="T119" s="111">
        <f>+IF(T$2=$E119,$D119,IF(T$2&gt;T$257,0,IF($C119=T$2,"PAGAR"&amp;" "&amp;TEXT($B119," #.##0,00"),0)))</f>
        <v>0</v>
      </c>
      <c r="U119" s="111">
        <f>+IF(U$2=$E119,$D119,IF(U$2&gt;U$257,0,IF($C119=U$2,"PAGAR"&amp;" "&amp;TEXT($B119," #.##0,00"),0)))</f>
        <v>0</v>
      </c>
      <c r="V119" s="111">
        <f>+IF(V$2=$E119,$D119,IF(V$2&gt;V$257,0,IF($C119=V$2,"PAGAR"&amp;" "&amp;TEXT($B119," #.##0,00"),0)))</f>
        <v>0</v>
      </c>
      <c r="W119" s="111">
        <f>+IF(W$2=$E119,$D119,IF(W$2&gt;W$257,0,IF($C119=W$2,"PAGAR"&amp;" "&amp;TEXT($B119," #.##0,00"),0)))</f>
        <v>0</v>
      </c>
      <c r="X119" s="111">
        <f>+IF(X$2=$E119,$D119,IF(X$2&gt;X$257,0,IF($C119=X$2,"PAGAR"&amp;" "&amp;TEXT($B119," #.##0,00"),0)))</f>
        <v>0</v>
      </c>
      <c r="Y119" s="111">
        <f>+IF(Y$2=$E119,$D119,IF(Y$2&gt;Y$257,0,IF($C119=Y$2,"PAGAR"&amp;" "&amp;TEXT($B119," #.##0,00"),0)))</f>
        <v>0</v>
      </c>
      <c r="Z119" s="111">
        <f>+IF(Z$2=$E119,$D119,IF(Z$2&gt;Z$257,0,IF($C119=Z$2,"PAGAR"&amp;" "&amp;TEXT($B119," #.##0,00"),0)))</f>
        <v>0</v>
      </c>
      <c r="AA119" s="111">
        <f>+IF(AA$2=$E119,$D119,IF(AA$2&gt;AA$257,0,IF($C119=AA$2,"PAGAR"&amp;" "&amp;TEXT($B119," #.##0,00"),0)))</f>
        <v>0</v>
      </c>
      <c r="AB119" s="111">
        <f>+IF(AB$2=$E119,$D119,IF(AB$2&gt;AB$257,0,IF($C119=AB$2,"PAGAR"&amp;" "&amp;TEXT($B119," #.##0,00"),0)))</f>
        <v>0</v>
      </c>
      <c r="AC119" s="111">
        <f>+IF(AC$2=$E119,$D119,IF(AC$2&gt;AC$257,0,IF($C119=AC$2,"PAGAR"&amp;" "&amp;TEXT($B119," #.##0,00"),0)))</f>
        <v>0</v>
      </c>
      <c r="AD119" s="111">
        <f>+IF(AD$2=$E119,$D119,IF(AD$2&gt;AD$257,0,IF($C119=AD$2,"PAGAR"&amp;" "&amp;TEXT($B119," #.##0,00"),0)))</f>
        <v>0</v>
      </c>
      <c r="AE119" s="111">
        <f>+IF(AE$2=$E119,$D119,IF(AE$2&gt;AE$257,0,IF($C119=AE$2,"PAGAR"&amp;" "&amp;TEXT($B119," #.##0,00"),0)))</f>
        <v>0</v>
      </c>
      <c r="AF119" s="111">
        <f>+IF(AF$2=$E119,$D119,IF(AF$2&gt;AF$257,0,IF($C119=AF$2,"PAGAR"&amp;" "&amp;TEXT($B119," #.##0,00"),0)))</f>
        <v>0</v>
      </c>
      <c r="AG119" s="111">
        <f>+IF(AG$2=$E119,$D119,IF(AG$2&gt;AG$257,0,IF($C119=AG$2,"PAGAR"&amp;" "&amp;TEXT($B119," #.##0,00"),0)))</f>
        <v>0</v>
      </c>
      <c r="AH119" s="111">
        <f>+IF(AH$2=$E119,$D119,IF(AH$2&gt;AH$257,0,IF($C119=AH$2,"PAGAR"&amp;" "&amp;TEXT($B119," #.##0,00"),0)))</f>
        <v>0</v>
      </c>
      <c r="AI119" s="111">
        <f>+IF(AI$2=$E119,$D119,IF(AI$2&gt;AI$257,0,IF($C119=AI$2,"PAGAR"&amp;" "&amp;TEXT($B119," #.##0,00"),0)))</f>
        <v>0</v>
      </c>
      <c r="AJ119" s="111">
        <f>+IF(AJ$2=$E119,$D119,IF(AJ$2&gt;AJ$257,0,IF($C119=AJ$2,"PAGAR"&amp;" "&amp;TEXT($B119," #.##0,00"),0)))</f>
        <v>0</v>
      </c>
      <c r="AK119" s="111">
        <f>+IF(AK$2=$E119,$D119,IF(AK$2&gt;AK$257,0,IF($C119=AK$2,"PAGAR"&amp;" "&amp;TEXT($B119," #.##0,00"),0)))</f>
        <v>0</v>
      </c>
      <c r="AL119" s="111">
        <f>+IF(AL$2=$E119,$D119,IF(AL$2&gt;AL$257,0,IF($C119=AL$2,"PAGAR"&amp;" "&amp;TEXT($B119," #.##0,00"),0)))</f>
        <v>0</v>
      </c>
      <c r="AM119" s="111">
        <f>+IF(AM$2=$E119,$D119,IF(AM$2&gt;AM$257,0,IF($C119=AM$2,"PAGAR"&amp;" "&amp;TEXT($B119," #.##0,00"),0)))</f>
        <v>0</v>
      </c>
      <c r="AN119" s="111">
        <f t="shared" ca="1" si="25"/>
        <v>0</v>
      </c>
      <c r="AO119" s="287">
        <f t="shared" si="26"/>
        <v>0</v>
      </c>
    </row>
    <row r="120" spans="1:41" x14ac:dyDescent="0.25">
      <c r="A120" s="212"/>
      <c r="B120" s="90"/>
      <c r="C120" s="91"/>
      <c r="D120" s="97"/>
      <c r="E120" s="166"/>
      <c r="F120" s="84">
        <f ca="1">+IF(TODAY()&lt;DATEVALUE(1&amp;D$1&amp;E$1),0,IF(C120&gt;0,IF(C120-SUM(I$255:AM$255)&lt;0,B120-SUM(I120:AM120,0),0),0))+IF(C120=-1,B120-SUM(J120:AM120))</f>
        <v>0</v>
      </c>
      <c r="G120" s="1" t="str">
        <f t="shared" si="24"/>
        <v>-</v>
      </c>
      <c r="H120" s="14"/>
      <c r="I120" s="111">
        <f>IF(I$2=$E120,$D120,IF(I$2&gt;I$257,0,IF($C120=I$2,"PAGAR"&amp;" "&amp;TEXT($B120," #.##0,00"),IF($C120=-1,"PAGAR"&amp;" "&amp;TEXT($B120," #.##0,00"),0))))</f>
        <v>0</v>
      </c>
      <c r="J120" s="111">
        <f>+IF(J$2=$E120,$D120,IF(J$2&gt;J$257,0,IF($C120=J$2,"PAGAR"&amp;" "&amp;TEXT($B120," #.##0,00"),0)))</f>
        <v>0</v>
      </c>
      <c r="K120" s="111">
        <f>+IF(K$2=$E120,$D120,IF(K$2&gt;K$257,0,IF($C120=K$2,"PAGAR"&amp;" "&amp;TEXT($B120," #.##0,00"),0)))</f>
        <v>0</v>
      </c>
      <c r="L120" s="111">
        <f>+IF(L$2=$E120,$D120,IF(L$2&gt;L$257,0,IF($C120=L$2,"PAGAR"&amp;" "&amp;TEXT($B120," #.##0,00"),0)))</f>
        <v>0</v>
      </c>
      <c r="M120" s="111">
        <f>+IF(M$2=$E120,$D120,IF(M$2&gt;M$257,0,IF($C120=M$2,"PAGAR"&amp;" "&amp;TEXT($B120," #.##0,00"),0)))</f>
        <v>0</v>
      </c>
      <c r="N120" s="111">
        <f>+IF(N$2=$E120,$D120,IF(N$2&gt;N$257,0,IF($C120=N$2,"PAGAR"&amp;" "&amp;TEXT($B120," #.##0,00"),0)))</f>
        <v>0</v>
      </c>
      <c r="O120" s="111">
        <f>+IF(O$2=$E120,$D120,IF(O$2&gt;O$257,0,IF($C120=O$2,"PAGAR"&amp;" "&amp;TEXT($B120," #.##0,00"),0)))</f>
        <v>0</v>
      </c>
      <c r="P120" s="111">
        <f>+IF(P$2=$E120,$D120,IF(P$2&gt;P$257,0,IF($C120=P$2,"PAGAR"&amp;" "&amp;TEXT($B120," #.##0,00"),0)))</f>
        <v>0</v>
      </c>
      <c r="Q120" s="111">
        <f>+IF(Q$2=$E120,$D120,IF(Q$2&gt;Q$257,0,IF($C120=Q$2,"PAGAR"&amp;" "&amp;TEXT($B120," #.##0,00"),0)))</f>
        <v>0</v>
      </c>
      <c r="R120" s="111">
        <f>+IF(R$2=$E120,$D120,IF(R$2&gt;R$257,0,IF($C120=R$2,"PAGAR"&amp;" "&amp;TEXT($B120," #.##0,00"),0)))</f>
        <v>0</v>
      </c>
      <c r="S120" s="111">
        <f>+IF(S$2=$E120,$D120,IF(S$2&gt;S$257,0,IF($C120=S$2,"PAGAR"&amp;" "&amp;TEXT($B120," #.##0,00"),0)))</f>
        <v>0</v>
      </c>
      <c r="T120" s="111">
        <f>+IF(T$2=$E120,$D120,IF(T$2&gt;T$257,0,IF($C120=T$2,"PAGAR"&amp;" "&amp;TEXT($B120," #.##0,00"),0)))</f>
        <v>0</v>
      </c>
      <c r="U120" s="111">
        <f>+IF(U$2=$E120,$D120,IF(U$2&gt;U$257,0,IF($C120=U$2,"PAGAR"&amp;" "&amp;TEXT($B120," #.##0,00"),0)))</f>
        <v>0</v>
      </c>
      <c r="V120" s="111">
        <f>+IF(V$2=$E120,$D120,IF(V$2&gt;V$257,0,IF($C120=V$2,"PAGAR"&amp;" "&amp;TEXT($B120," #.##0,00"),0)))</f>
        <v>0</v>
      </c>
      <c r="W120" s="111">
        <f>+IF(W$2=$E120,$D120,IF(W$2&gt;W$257,0,IF($C120=W$2,"PAGAR"&amp;" "&amp;TEXT($B120," #.##0,00"),0)))</f>
        <v>0</v>
      </c>
      <c r="X120" s="111">
        <f>+IF(X$2=$E120,$D120,IF(X$2&gt;X$257,0,IF($C120=X$2,"PAGAR"&amp;" "&amp;TEXT($B120," #.##0,00"),0)))</f>
        <v>0</v>
      </c>
      <c r="Y120" s="111">
        <f>+IF(Y$2=$E120,$D120,IF(Y$2&gt;Y$257,0,IF($C120=Y$2,"PAGAR"&amp;" "&amp;TEXT($B120," #.##0,00"),0)))</f>
        <v>0</v>
      </c>
      <c r="Z120" s="111">
        <f>+IF(Z$2=$E120,$D120,IF(Z$2&gt;Z$257,0,IF($C120=Z$2,"PAGAR"&amp;" "&amp;TEXT($B120," #.##0,00"),0)))</f>
        <v>0</v>
      </c>
      <c r="AA120" s="111">
        <f>+IF(AA$2=$E120,$D120,IF(AA$2&gt;AA$257,0,IF($C120=AA$2,"PAGAR"&amp;" "&amp;TEXT($B120," #.##0,00"),0)))</f>
        <v>0</v>
      </c>
      <c r="AB120" s="111">
        <f>+IF(AB$2=$E120,$D120,IF(AB$2&gt;AB$257,0,IF($C120=AB$2,"PAGAR"&amp;" "&amp;TEXT($B120," #.##0,00"),0)))</f>
        <v>0</v>
      </c>
      <c r="AC120" s="111">
        <f>+IF(AC$2=$E120,$D120,IF(AC$2&gt;AC$257,0,IF($C120=AC$2,"PAGAR"&amp;" "&amp;TEXT($B120," #.##0,00"),0)))</f>
        <v>0</v>
      </c>
      <c r="AD120" s="111">
        <f>+IF(AD$2=$E120,$D120,IF(AD$2&gt;AD$257,0,IF($C120=AD$2,"PAGAR"&amp;" "&amp;TEXT($B120," #.##0,00"),0)))</f>
        <v>0</v>
      </c>
      <c r="AE120" s="111">
        <f>+IF(AE$2=$E120,$D120,IF(AE$2&gt;AE$257,0,IF($C120=AE$2,"PAGAR"&amp;" "&amp;TEXT($B120," #.##0,00"),0)))</f>
        <v>0</v>
      </c>
      <c r="AF120" s="111">
        <f>+IF(AF$2=$E120,$D120,IF(AF$2&gt;AF$257,0,IF($C120=AF$2,"PAGAR"&amp;" "&amp;TEXT($B120," #.##0,00"),0)))</f>
        <v>0</v>
      </c>
      <c r="AG120" s="111">
        <f>+IF(AG$2=$E120,$D120,IF(AG$2&gt;AG$257,0,IF($C120=AG$2,"PAGAR"&amp;" "&amp;TEXT($B120," #.##0,00"),0)))</f>
        <v>0</v>
      </c>
      <c r="AH120" s="111">
        <f>+IF(AH$2=$E120,$D120,IF(AH$2&gt;AH$257,0,IF($C120=AH$2,"PAGAR"&amp;" "&amp;TEXT($B120," #.##0,00"),0)))</f>
        <v>0</v>
      </c>
      <c r="AI120" s="111">
        <f>+IF(AI$2=$E120,$D120,IF(AI$2&gt;AI$257,0,IF($C120=AI$2,"PAGAR"&amp;" "&amp;TEXT($B120," #.##0,00"),0)))</f>
        <v>0</v>
      </c>
      <c r="AJ120" s="111">
        <f>+IF(AJ$2=$E120,$D120,IF(AJ$2&gt;AJ$257,0,IF($C120=AJ$2,"PAGAR"&amp;" "&amp;TEXT($B120," #.##0,00"),0)))</f>
        <v>0</v>
      </c>
      <c r="AK120" s="111">
        <f>+IF(AK$2=$E120,$D120,IF(AK$2&gt;AK$257,0,IF($C120=AK$2,"PAGAR"&amp;" "&amp;TEXT($B120," #.##0,00"),0)))</f>
        <v>0</v>
      </c>
      <c r="AL120" s="111">
        <f>+IF(AL$2=$E120,$D120,IF(AL$2&gt;AL$257,0,IF($C120=AL$2,"PAGAR"&amp;" "&amp;TEXT($B120," #.##0,00"),0)))</f>
        <v>0</v>
      </c>
      <c r="AM120" s="111">
        <f>+IF(AM$2=$E120,$D120,IF(AM$2&gt;AM$257,0,IF($C120=AM$2,"PAGAR"&amp;" "&amp;TEXT($B120," #.##0,00"),0)))</f>
        <v>0</v>
      </c>
      <c r="AN120" s="111">
        <f t="shared" ca="1" si="25"/>
        <v>0</v>
      </c>
      <c r="AO120" s="287">
        <f t="shared" si="26"/>
        <v>0</v>
      </c>
    </row>
    <row r="121" spans="1:41" x14ac:dyDescent="0.25">
      <c r="A121" s="212"/>
      <c r="B121" s="90"/>
      <c r="C121" s="91"/>
      <c r="D121" s="97"/>
      <c r="E121" s="166"/>
      <c r="F121" s="84">
        <f ca="1">+IF(TODAY()&lt;DATEVALUE(1&amp;D$1&amp;E$1),0,IF(C121&gt;0,IF(C121-SUM(I$255:AM$255)&lt;0,B121-SUM(I121:AM121,0),0),0))+IF(C121=-1,B121-SUM(J121:AM121))</f>
        <v>0</v>
      </c>
      <c r="G121" s="1" t="str">
        <f t="shared" si="24"/>
        <v>-</v>
      </c>
      <c r="H121" s="14"/>
      <c r="I121" s="111">
        <f>IF(I$2=$E121,$D121,IF(I$2&gt;I$257,0,IF($C121=I$2,"PAGAR"&amp;" "&amp;TEXT($B121," #.##0,00"),IF($C121=-1,"PAGAR"&amp;" "&amp;TEXT($B121," #.##0,00"),0))))</f>
        <v>0</v>
      </c>
      <c r="J121" s="111">
        <f>+IF(J$2=$E121,$D121,IF(J$2&gt;J$257,0,IF($C121=J$2,"PAGAR"&amp;" "&amp;TEXT($B121," #.##0,00"),0)))</f>
        <v>0</v>
      </c>
      <c r="K121" s="111">
        <f>+IF(K$2=$E121,$D121,IF(K$2&gt;K$257,0,IF($C121=K$2,"PAGAR"&amp;" "&amp;TEXT($B121," #.##0,00"),0)))</f>
        <v>0</v>
      </c>
      <c r="L121" s="111">
        <f>+IF(L$2=$E121,$D121,IF(L$2&gt;L$257,0,IF($C121=L$2,"PAGAR"&amp;" "&amp;TEXT($B121," #.##0,00"),0)))</f>
        <v>0</v>
      </c>
      <c r="M121" s="111">
        <f>+IF(M$2=$E121,$D121,IF(M$2&gt;M$257,0,IF($C121=M$2,"PAGAR"&amp;" "&amp;TEXT($B121," #.##0,00"),0)))</f>
        <v>0</v>
      </c>
      <c r="N121" s="111">
        <f>+IF(N$2=$E121,$D121,IF(N$2&gt;N$257,0,IF($C121=N$2,"PAGAR"&amp;" "&amp;TEXT($B121," #.##0,00"),0)))</f>
        <v>0</v>
      </c>
      <c r="O121" s="111">
        <f>+IF(O$2=$E121,$D121,IF(O$2&gt;O$257,0,IF($C121=O$2,"PAGAR"&amp;" "&amp;TEXT($B121," #.##0,00"),0)))</f>
        <v>0</v>
      </c>
      <c r="P121" s="111">
        <f>+IF(P$2=$E121,$D121,IF(P$2&gt;P$257,0,IF($C121=P$2,"PAGAR"&amp;" "&amp;TEXT($B121," #.##0,00"),0)))</f>
        <v>0</v>
      </c>
      <c r="Q121" s="111">
        <f>+IF(Q$2=$E121,$D121,IF(Q$2&gt;Q$257,0,IF($C121=Q$2,"PAGAR"&amp;" "&amp;TEXT($B121," #.##0,00"),0)))</f>
        <v>0</v>
      </c>
      <c r="R121" s="111">
        <f>+IF(R$2=$E121,$D121,IF(R$2&gt;R$257,0,IF($C121=R$2,"PAGAR"&amp;" "&amp;TEXT($B121," #.##0,00"),0)))</f>
        <v>0</v>
      </c>
      <c r="S121" s="111">
        <f>+IF(S$2=$E121,$D121,IF(S$2&gt;S$257,0,IF($C121=S$2,"PAGAR"&amp;" "&amp;TEXT($B121," #.##0,00"),0)))</f>
        <v>0</v>
      </c>
      <c r="T121" s="111">
        <f>+IF(T$2=$E121,$D121,IF(T$2&gt;T$257,0,IF($C121=T$2,"PAGAR"&amp;" "&amp;TEXT($B121," #.##0,00"),0)))</f>
        <v>0</v>
      </c>
      <c r="U121" s="111">
        <f>+IF(U$2=$E121,$D121,IF(U$2&gt;U$257,0,IF($C121=U$2,"PAGAR"&amp;" "&amp;TEXT($B121," #.##0,00"),0)))</f>
        <v>0</v>
      </c>
      <c r="V121" s="111">
        <f>+IF(V$2=$E121,$D121,IF(V$2&gt;V$257,0,IF($C121=V$2,"PAGAR"&amp;" "&amp;TEXT($B121," #.##0,00"),0)))</f>
        <v>0</v>
      </c>
      <c r="W121" s="111">
        <f>+IF(W$2=$E121,$D121,IF(W$2&gt;W$257,0,IF($C121=W$2,"PAGAR"&amp;" "&amp;TEXT($B121," #.##0,00"),0)))</f>
        <v>0</v>
      </c>
      <c r="X121" s="111">
        <f>+IF(X$2=$E121,$D121,IF(X$2&gt;X$257,0,IF($C121=X$2,"PAGAR"&amp;" "&amp;TEXT($B121," #.##0,00"),0)))</f>
        <v>0</v>
      </c>
      <c r="Y121" s="111">
        <f>+IF(Y$2=$E121,$D121,IF(Y$2&gt;Y$257,0,IF($C121=Y$2,"PAGAR"&amp;" "&amp;TEXT($B121," #.##0,00"),0)))</f>
        <v>0</v>
      </c>
      <c r="Z121" s="111">
        <f>+IF(Z$2=$E121,$D121,IF(Z$2&gt;Z$257,0,IF($C121=Z$2,"PAGAR"&amp;" "&amp;TEXT($B121," #.##0,00"),0)))</f>
        <v>0</v>
      </c>
      <c r="AA121" s="111">
        <f>+IF(AA$2=$E121,$D121,IF(AA$2&gt;AA$257,0,IF($C121=AA$2,"PAGAR"&amp;" "&amp;TEXT($B121," #.##0,00"),0)))</f>
        <v>0</v>
      </c>
      <c r="AB121" s="111">
        <f>+IF(AB$2=$E121,$D121,IF(AB$2&gt;AB$257,0,IF($C121=AB$2,"PAGAR"&amp;" "&amp;TEXT($B121," #.##0,00"),0)))</f>
        <v>0</v>
      </c>
      <c r="AC121" s="111">
        <f>+IF(AC$2=$E121,$D121,IF(AC$2&gt;AC$257,0,IF($C121=AC$2,"PAGAR"&amp;" "&amp;TEXT($B121," #.##0,00"),0)))</f>
        <v>0</v>
      </c>
      <c r="AD121" s="111">
        <f>+IF(AD$2=$E121,$D121,IF(AD$2&gt;AD$257,0,IF($C121=AD$2,"PAGAR"&amp;" "&amp;TEXT($B121," #.##0,00"),0)))</f>
        <v>0</v>
      </c>
      <c r="AE121" s="111">
        <f>+IF(AE$2=$E121,$D121,IF(AE$2&gt;AE$257,0,IF($C121=AE$2,"PAGAR"&amp;" "&amp;TEXT($B121," #.##0,00"),0)))</f>
        <v>0</v>
      </c>
      <c r="AF121" s="111">
        <f>+IF(AF$2=$E121,$D121,IF(AF$2&gt;AF$257,0,IF($C121=AF$2,"PAGAR"&amp;" "&amp;TEXT($B121," #.##0,00"),0)))</f>
        <v>0</v>
      </c>
      <c r="AG121" s="111">
        <f>+IF(AG$2=$E121,$D121,IF(AG$2&gt;AG$257,0,IF($C121=AG$2,"PAGAR"&amp;" "&amp;TEXT($B121," #.##0,00"),0)))</f>
        <v>0</v>
      </c>
      <c r="AH121" s="111">
        <f>+IF(AH$2=$E121,$D121,IF(AH$2&gt;AH$257,0,IF($C121=AH$2,"PAGAR"&amp;" "&amp;TEXT($B121," #.##0,00"),0)))</f>
        <v>0</v>
      </c>
      <c r="AI121" s="111">
        <f>+IF(AI$2=$E121,$D121,IF(AI$2&gt;AI$257,0,IF($C121=AI$2,"PAGAR"&amp;" "&amp;TEXT($B121," #.##0,00"),0)))</f>
        <v>0</v>
      </c>
      <c r="AJ121" s="111">
        <f>+IF(AJ$2=$E121,$D121,IF(AJ$2&gt;AJ$257,0,IF($C121=AJ$2,"PAGAR"&amp;" "&amp;TEXT($B121," #.##0,00"),0)))</f>
        <v>0</v>
      </c>
      <c r="AK121" s="111">
        <f>+IF(AK$2=$E121,$D121,IF(AK$2&gt;AK$257,0,IF($C121=AK$2,"PAGAR"&amp;" "&amp;TEXT($B121," #.##0,00"),0)))</f>
        <v>0</v>
      </c>
      <c r="AL121" s="111">
        <f>+IF(AL$2=$E121,$D121,IF(AL$2&gt;AL$257,0,IF($C121=AL$2,"PAGAR"&amp;" "&amp;TEXT($B121," #.##0,00"),0)))</f>
        <v>0</v>
      </c>
      <c r="AM121" s="111">
        <f>+IF(AM$2=$E121,$D121,IF(AM$2&gt;AM$257,0,IF($C121=AM$2,"PAGAR"&amp;" "&amp;TEXT($B121," #.##0,00"),0)))</f>
        <v>0</v>
      </c>
      <c r="AN121" s="111">
        <f t="shared" ca="1" si="25"/>
        <v>0</v>
      </c>
      <c r="AO121" s="287">
        <f t="shared" si="26"/>
        <v>0</v>
      </c>
    </row>
    <row r="122" spans="1:41" ht="15.75" x14ac:dyDescent="0.25">
      <c r="A122" s="112" t="s">
        <v>76</v>
      </c>
      <c r="B122" s="6">
        <f>+SUM(B114:B121)</f>
        <v>4500</v>
      </c>
      <c r="C122" s="81"/>
      <c r="D122" s="6">
        <f>+SUM(D114:D121)</f>
        <v>0</v>
      </c>
      <c r="E122" s="81"/>
      <c r="F122" s="195">
        <f ca="1">+SUMIF(F114:F121,"&gt;0")</f>
        <v>1750</v>
      </c>
      <c r="G122" s="3">
        <f t="shared" si="24"/>
        <v>0</v>
      </c>
      <c r="H122" s="5"/>
      <c r="I122" s="2">
        <f>+PLAN2!H123</f>
        <v>1750</v>
      </c>
      <c r="J122" s="2">
        <f>+PLAN2!I123</f>
        <v>0</v>
      </c>
      <c r="K122" s="2">
        <f>+PLAN2!J123</f>
        <v>0</v>
      </c>
      <c r="L122" s="2">
        <f>+PLAN2!K123</f>
        <v>0</v>
      </c>
      <c r="M122" s="2">
        <f>+PLAN2!L123</f>
        <v>0</v>
      </c>
      <c r="N122" s="2">
        <f>+PLAN2!M123</f>
        <v>0</v>
      </c>
      <c r="O122" s="2">
        <f>+PLAN2!N123</f>
        <v>0</v>
      </c>
      <c r="P122" s="2">
        <f>+PLAN2!O123</f>
        <v>0</v>
      </c>
      <c r="Q122" s="2">
        <f>+PLAN2!P123</f>
        <v>0</v>
      </c>
      <c r="R122" s="2">
        <f>+PLAN2!Q123</f>
        <v>0</v>
      </c>
      <c r="S122" s="2">
        <f>+PLAN2!R123</f>
        <v>0</v>
      </c>
      <c r="T122" s="2">
        <f>+PLAN2!S123</f>
        <v>0</v>
      </c>
      <c r="U122" s="2">
        <f>+PLAN2!T123</f>
        <v>0</v>
      </c>
      <c r="V122" s="2">
        <f>+PLAN2!U123</f>
        <v>0</v>
      </c>
      <c r="W122" s="2">
        <f>+PLAN2!V123</f>
        <v>2750</v>
      </c>
      <c r="X122" s="2">
        <f>+PLAN2!W123</f>
        <v>0</v>
      </c>
      <c r="Y122" s="2">
        <f>+PLAN2!X123</f>
        <v>0</v>
      </c>
      <c r="Z122" s="2">
        <f>+PLAN2!Y123</f>
        <v>0</v>
      </c>
      <c r="AA122" s="2">
        <f>+PLAN2!Z123</f>
        <v>0</v>
      </c>
      <c r="AB122" s="2">
        <f>+PLAN2!AA123</f>
        <v>0</v>
      </c>
      <c r="AC122" s="2">
        <f>+PLAN2!AB123</f>
        <v>0</v>
      </c>
      <c r="AD122" s="2">
        <f>+PLAN2!AC123</f>
        <v>0</v>
      </c>
      <c r="AE122" s="2">
        <f>+PLAN2!AD123</f>
        <v>0</v>
      </c>
      <c r="AF122" s="2">
        <f>+PLAN2!AE123</f>
        <v>0</v>
      </c>
      <c r="AG122" s="2">
        <f>+PLAN2!AF123</f>
        <v>0</v>
      </c>
      <c r="AH122" s="2">
        <f>+PLAN2!AG123</f>
        <v>0</v>
      </c>
      <c r="AI122" s="2">
        <f>+PLAN2!AH123</f>
        <v>0</v>
      </c>
      <c r="AJ122" s="2">
        <f>+PLAN2!AI123</f>
        <v>0</v>
      </c>
      <c r="AK122" s="2">
        <f>+PLAN2!AJ123</f>
        <v>0</v>
      </c>
      <c r="AL122" s="2">
        <f>+PLAN2!AK123</f>
        <v>0</v>
      </c>
      <c r="AM122" s="2">
        <f>+PLAN2!AL123</f>
        <v>0</v>
      </c>
      <c r="AN122" s="2">
        <f ca="1">SUM(AN114:AN121)</f>
        <v>0</v>
      </c>
      <c r="AO122" s="288"/>
    </row>
    <row r="123" spans="1:41" x14ac:dyDescent="0.25">
      <c r="A123" s="211" t="s">
        <v>53</v>
      </c>
      <c r="B123" s="109"/>
      <c r="C123" s="109"/>
      <c r="D123" s="109"/>
      <c r="E123" s="109"/>
      <c r="F123" s="109"/>
      <c r="G123" s="109"/>
      <c r="H123" s="11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09"/>
      <c r="AK123" s="109"/>
      <c r="AL123" s="109"/>
      <c r="AM123" s="110"/>
      <c r="AN123" s="13"/>
      <c r="AO123" s="285"/>
    </row>
    <row r="124" spans="1:41" x14ac:dyDescent="0.25">
      <c r="A124" s="212" t="s">
        <v>171</v>
      </c>
      <c r="B124" s="90">
        <v>6900</v>
      </c>
      <c r="C124" s="91">
        <v>5</v>
      </c>
      <c r="D124" s="97"/>
      <c r="E124" s="166"/>
      <c r="F124" s="84">
        <f ca="1">+IF(TODAY()&lt;DATEVALUE(1&amp;D$1&amp;E$1),0,IF(C124&gt;0,IF(C124-SUM(I$255:AM$255)&lt;0,B124-SUM(I124:AM124,0),0),0))+IF(C124=-1,B124-SUM(J124:AM124))</f>
        <v>6900</v>
      </c>
      <c r="G124" s="1">
        <f t="shared" ref="G124:G131" si="27">+IF(B124=0,"-",D124/B124)</f>
        <v>0</v>
      </c>
      <c r="H124" s="14"/>
      <c r="I124" s="111">
        <f>IF(I$2=$E124,$D124,IF(I$2&gt;I$257,0,IF($C124=I$2,"PAGAR"&amp;" "&amp;TEXT($B124," #.##0,00"),IF($C124=-1,"PAGAR"&amp;" "&amp;TEXT($B124," #.##0,00"),0))))</f>
        <v>0</v>
      </c>
      <c r="J124" s="111">
        <f>+IF(J$2=$E124,$D124,IF(J$2&gt;J$257,0,IF($C124=J$2,"PAGAR"&amp;" "&amp;TEXT($B124," #.##0,00"),0)))</f>
        <v>0</v>
      </c>
      <c r="K124" s="111">
        <f>+IF(K$2=$E124,$D124,IF(K$2&gt;K$257,0,IF($C124=K$2,"PAGAR"&amp;" "&amp;TEXT($B124," #.##0,00"),0)))</f>
        <v>0</v>
      </c>
      <c r="L124" s="111">
        <f>+IF(L$2=$E124,$D124,IF(L$2&gt;L$257,0,IF($C124=L$2,"PAGAR"&amp;" "&amp;TEXT($B124," #.##0,00"),0)))</f>
        <v>0</v>
      </c>
      <c r="M124" s="111" t="str">
        <f>+IF(M$2=$E124,$D124,IF(M$2&gt;M$257,0,IF($C124=M$2,"PAGAR"&amp;" "&amp;TEXT($B124," #.##0,00"),0)))</f>
        <v>PAGAR  6.900,00</v>
      </c>
      <c r="N124" s="111">
        <f>+IF(N$2=$E124,$D124,IF(N$2&gt;N$257,0,IF($C124=N$2,"PAGAR"&amp;" "&amp;TEXT($B124," #.##0,00"),0)))</f>
        <v>0</v>
      </c>
      <c r="O124" s="111">
        <f>+IF(O$2=$E124,$D124,IF(O$2&gt;O$257,0,IF($C124=O$2,"PAGAR"&amp;" "&amp;TEXT($B124," #.##0,00"),0)))</f>
        <v>0</v>
      </c>
      <c r="P124" s="111">
        <f>+IF(P$2=$E124,$D124,IF(P$2&gt;P$257,0,IF($C124=P$2,"PAGAR"&amp;" "&amp;TEXT($B124," #.##0,00"),0)))</f>
        <v>0</v>
      </c>
      <c r="Q124" s="111">
        <f>+IF(Q$2=$E124,$D124,IF(Q$2&gt;Q$257,0,IF($C124=Q$2,"PAGAR"&amp;" "&amp;TEXT($B124," #.##0,00"),0)))</f>
        <v>0</v>
      </c>
      <c r="R124" s="111">
        <f>+IF(R$2=$E124,$D124,IF(R$2&gt;R$257,0,IF($C124=R$2,"PAGAR"&amp;" "&amp;TEXT($B124," #.##0,00"),0)))</f>
        <v>0</v>
      </c>
      <c r="S124" s="111">
        <f>+IF(S$2=$E124,$D124,IF(S$2&gt;S$257,0,IF($C124=S$2,"PAGAR"&amp;" "&amp;TEXT($B124," #.##0,00"),0)))</f>
        <v>0</v>
      </c>
      <c r="T124" s="111">
        <f>+IF(T$2=$E124,$D124,IF(T$2&gt;T$257,0,IF($C124=T$2,"PAGAR"&amp;" "&amp;TEXT($B124," #.##0,00"),0)))</f>
        <v>0</v>
      </c>
      <c r="U124" s="111">
        <f>+IF(U$2=$E124,$D124,IF(U$2&gt;U$257,0,IF($C124=U$2,"PAGAR"&amp;" "&amp;TEXT($B124," #.##0,00"),0)))</f>
        <v>0</v>
      </c>
      <c r="V124" s="111">
        <f>+IF(V$2=$E124,$D124,IF(V$2&gt;V$257,0,IF($C124=V$2,"PAGAR"&amp;" "&amp;TEXT($B124," #.##0,00"),0)))</f>
        <v>0</v>
      </c>
      <c r="W124" s="111">
        <f>+IF(W$2=$E124,$D124,IF(W$2&gt;W$257,0,IF($C124=W$2,"PAGAR"&amp;" "&amp;TEXT($B124," #.##0,00"),0)))</f>
        <v>0</v>
      </c>
      <c r="X124" s="111">
        <f>+IF(X$2=$E124,$D124,IF(X$2&gt;X$257,0,IF($C124=X$2,"PAGAR"&amp;" "&amp;TEXT($B124," #.##0,00"),0)))</f>
        <v>0</v>
      </c>
      <c r="Y124" s="111">
        <f>+IF(Y$2=$E124,$D124,IF(Y$2&gt;Y$257,0,IF($C124=Y$2,"PAGAR"&amp;" "&amp;TEXT($B124," #.##0,00"),0)))</f>
        <v>0</v>
      </c>
      <c r="Z124" s="111">
        <f>+IF(Z$2=$E124,$D124,IF(Z$2&gt;Z$257,0,IF($C124=Z$2,"PAGAR"&amp;" "&amp;TEXT($B124," #.##0,00"),0)))</f>
        <v>0</v>
      </c>
      <c r="AA124" s="111">
        <f>+IF(AA$2=$E124,$D124,IF(AA$2&gt;AA$257,0,IF($C124=AA$2,"PAGAR"&amp;" "&amp;TEXT($B124," #.##0,00"),0)))</f>
        <v>0</v>
      </c>
      <c r="AB124" s="111">
        <f>+IF(AB$2=$E124,$D124,IF(AB$2&gt;AB$257,0,IF($C124=AB$2,"PAGAR"&amp;" "&amp;TEXT($B124," #.##0,00"),0)))</f>
        <v>0</v>
      </c>
      <c r="AC124" s="111">
        <f>+IF(AC$2=$E124,$D124,IF(AC$2&gt;AC$257,0,IF($C124=AC$2,"PAGAR"&amp;" "&amp;TEXT($B124," #.##0,00"),0)))</f>
        <v>0</v>
      </c>
      <c r="AD124" s="111">
        <f>+IF(AD$2=$E124,$D124,IF(AD$2&gt;AD$257,0,IF($C124=AD$2,"PAGAR"&amp;" "&amp;TEXT($B124," #.##0,00"),0)))</f>
        <v>0</v>
      </c>
      <c r="AE124" s="111">
        <f>+IF(AE$2=$E124,$D124,IF(AE$2&gt;AE$257,0,IF($C124=AE$2,"PAGAR"&amp;" "&amp;TEXT($B124," #.##0,00"),0)))</f>
        <v>0</v>
      </c>
      <c r="AF124" s="111">
        <f>+IF(AF$2=$E124,$D124,IF(AF$2&gt;AF$257,0,IF($C124=AF$2,"PAGAR"&amp;" "&amp;TEXT($B124," #.##0,00"),0)))</f>
        <v>0</v>
      </c>
      <c r="AG124" s="111">
        <f>+IF(AG$2=$E124,$D124,IF(AG$2&gt;AG$257,0,IF($C124=AG$2,"PAGAR"&amp;" "&amp;TEXT($B124," #.##0,00"),0)))</f>
        <v>0</v>
      </c>
      <c r="AH124" s="111">
        <f>+IF(AH$2=$E124,$D124,IF(AH$2&gt;AH$257,0,IF($C124=AH$2,"PAGAR"&amp;" "&amp;TEXT($B124," #.##0,00"),0)))</f>
        <v>0</v>
      </c>
      <c r="AI124" s="111">
        <f>+IF(AI$2=$E124,$D124,IF(AI$2&gt;AI$257,0,IF($C124=AI$2,"PAGAR"&amp;" "&amp;TEXT($B124," #.##0,00"),0)))</f>
        <v>0</v>
      </c>
      <c r="AJ124" s="111">
        <f>+IF(AJ$2=$E124,$D124,IF(AJ$2&gt;AJ$257,0,IF($C124=AJ$2,"PAGAR"&amp;" "&amp;TEXT($B124," #.##0,00"),0)))</f>
        <v>0</v>
      </c>
      <c r="AK124" s="111">
        <f>+IF(AK$2=$E124,$D124,IF(AK$2&gt;AK$257,0,IF($C124=AK$2,"PAGAR"&amp;" "&amp;TEXT($B124," #.##0,00"),0)))</f>
        <v>0</v>
      </c>
      <c r="AL124" s="111">
        <f>+IF(AL$2=$E124,$D124,IF(AL$2&gt;AL$257,0,IF($C124=AL$2,"PAGAR"&amp;" "&amp;TEXT($B124," #.##0,00"),0)))</f>
        <v>0</v>
      </c>
      <c r="AM124" s="111">
        <f>+IF(AM$2=$E124,$D124,IF(AM$2&gt;AM$257,0,IF($C124=AM$2,"PAGAR"&amp;" "&amp;TEXT($B124," #.##0,00"),0)))</f>
        <v>0</v>
      </c>
      <c r="AN124" s="111">
        <f t="shared" ref="AN124:AN130" ca="1" si="28">+IF(F124&lt;0,-F124,0)</f>
        <v>0</v>
      </c>
      <c r="AO124" s="287">
        <f t="shared" ref="AO124:AO130" si="29">+IF(AND(C124=0,B124&gt;0),B124,0)</f>
        <v>0</v>
      </c>
    </row>
    <row r="125" spans="1:41" x14ac:dyDescent="0.25">
      <c r="A125" s="212" t="s">
        <v>171</v>
      </c>
      <c r="B125" s="90">
        <v>6900</v>
      </c>
      <c r="C125" s="91">
        <v>12</v>
      </c>
      <c r="D125" s="97"/>
      <c r="E125" s="166"/>
      <c r="F125" s="84">
        <f ca="1">+IF(TODAY()&lt;DATEVALUE(1&amp;D$1&amp;E$1),0,IF(C125&gt;0,IF(C125-SUM(I$255:AM$255)&lt;0,B125-SUM(I125:AM125,0),0),0))+IF(C125=-1,B125-SUM(J125:AM125))</f>
        <v>6900</v>
      </c>
      <c r="G125" s="1">
        <f t="shared" si="27"/>
        <v>0</v>
      </c>
      <c r="H125" s="14"/>
      <c r="I125" s="111">
        <f>IF(I$2=$E125,$D125,IF(I$2&gt;I$257,0,IF($C125=I$2,"PAGAR"&amp;" "&amp;TEXT($B125," #.##0,00"),IF($C125=-1,"PAGAR"&amp;" "&amp;TEXT($B125," #.##0,00"),0))))</f>
        <v>0</v>
      </c>
      <c r="J125" s="111">
        <f>+IF(J$2=$E125,$D125,IF(J$2&gt;J$257,0,IF($C125=J$2,"PAGAR"&amp;" "&amp;TEXT($B125," #.##0,00"),0)))</f>
        <v>0</v>
      </c>
      <c r="K125" s="111">
        <f>+IF(K$2=$E125,$D125,IF(K$2&gt;K$257,0,IF($C125=K$2,"PAGAR"&amp;" "&amp;TEXT($B125," #.##0,00"),0)))</f>
        <v>0</v>
      </c>
      <c r="L125" s="111">
        <f>+IF(L$2=$E125,$D125,IF(L$2&gt;L$257,0,IF($C125=L$2,"PAGAR"&amp;" "&amp;TEXT($B125," #.##0,00"),0)))</f>
        <v>0</v>
      </c>
      <c r="M125" s="111">
        <f>+IF(M$2=$E125,$D125,IF(M$2&gt;M$257,0,IF($C125=M$2,"PAGAR"&amp;" "&amp;TEXT($B125," #.##0,00"),0)))</f>
        <v>0</v>
      </c>
      <c r="N125" s="111">
        <f>+IF(N$2=$E125,$D125,IF(N$2&gt;N$257,0,IF($C125=N$2,"PAGAR"&amp;" "&amp;TEXT($B125," #.##0,00"),0)))</f>
        <v>0</v>
      </c>
      <c r="O125" s="111">
        <f>+IF(O$2=$E125,$D125,IF(O$2&gt;O$257,0,IF($C125=O$2,"PAGAR"&amp;" "&amp;TEXT($B125," #.##0,00"),0)))</f>
        <v>0</v>
      </c>
      <c r="P125" s="111">
        <f>+IF(P$2=$E125,$D125,IF(P$2&gt;P$257,0,IF($C125=P$2,"PAGAR"&amp;" "&amp;TEXT($B125," #.##0,00"),0)))</f>
        <v>0</v>
      </c>
      <c r="Q125" s="111">
        <f>+IF(Q$2=$E125,$D125,IF(Q$2&gt;Q$257,0,IF($C125=Q$2,"PAGAR"&amp;" "&amp;TEXT($B125," #.##0,00"),0)))</f>
        <v>0</v>
      </c>
      <c r="R125" s="111">
        <f>+IF(R$2=$E125,$D125,IF(R$2&gt;R$257,0,IF($C125=R$2,"PAGAR"&amp;" "&amp;TEXT($B125," #.##0,00"),0)))</f>
        <v>0</v>
      </c>
      <c r="S125" s="111">
        <f>+IF(S$2=$E125,$D125,IF(S$2&gt;S$257,0,IF($C125=S$2,"PAGAR"&amp;" "&amp;TEXT($B125," #.##0,00"),0)))</f>
        <v>0</v>
      </c>
      <c r="T125" s="111" t="str">
        <f>+IF(T$2=$E125,$D125,IF(T$2&gt;T$257,0,IF($C125=T$2,"PAGAR"&amp;" "&amp;TEXT($B125," #.##0,00"),0)))</f>
        <v>PAGAR  6.900,00</v>
      </c>
      <c r="U125" s="111">
        <f>+IF(U$2=$E125,$D125,IF(U$2&gt;U$257,0,IF($C125=U$2,"PAGAR"&amp;" "&amp;TEXT($B125," #.##0,00"),0)))</f>
        <v>0</v>
      </c>
      <c r="V125" s="111">
        <f>+IF(V$2=$E125,$D125,IF(V$2&gt;V$257,0,IF($C125=V$2,"PAGAR"&amp;" "&amp;TEXT($B125," #.##0,00"),0)))</f>
        <v>0</v>
      </c>
      <c r="W125" s="111">
        <f>+IF(W$2=$E125,$D125,IF(W$2&gt;W$257,0,IF($C125=W$2,"PAGAR"&amp;" "&amp;TEXT($B125," #.##0,00"),0)))</f>
        <v>0</v>
      </c>
      <c r="X125" s="111">
        <f>+IF(X$2=$E125,$D125,IF(X$2&gt;X$257,0,IF($C125=X$2,"PAGAR"&amp;" "&amp;TEXT($B125," #.##0,00"),0)))</f>
        <v>0</v>
      </c>
      <c r="Y125" s="111">
        <f>+IF(Y$2=$E125,$D125,IF(Y$2&gt;Y$257,0,IF($C125=Y$2,"PAGAR"&amp;" "&amp;TEXT($B125," #.##0,00"),0)))</f>
        <v>0</v>
      </c>
      <c r="Z125" s="111">
        <f>+IF(Z$2=$E125,$D125,IF(Z$2&gt;Z$257,0,IF($C125=Z$2,"PAGAR"&amp;" "&amp;TEXT($B125," #.##0,00"),0)))</f>
        <v>0</v>
      </c>
      <c r="AA125" s="111">
        <f>+IF(AA$2=$E125,$D125,IF(AA$2&gt;AA$257,0,IF($C125=AA$2,"PAGAR"&amp;" "&amp;TEXT($B125," #.##0,00"),0)))</f>
        <v>0</v>
      </c>
      <c r="AB125" s="111">
        <f>+IF(AB$2=$E125,$D125,IF(AB$2&gt;AB$257,0,IF($C125=AB$2,"PAGAR"&amp;" "&amp;TEXT($B125," #.##0,00"),0)))</f>
        <v>0</v>
      </c>
      <c r="AC125" s="111">
        <f>+IF(AC$2=$E125,$D125,IF(AC$2&gt;AC$257,0,IF($C125=AC$2,"PAGAR"&amp;" "&amp;TEXT($B125," #.##0,00"),0)))</f>
        <v>0</v>
      </c>
      <c r="AD125" s="111">
        <f>+IF(AD$2=$E125,$D125,IF(AD$2&gt;AD$257,0,IF($C125=AD$2,"PAGAR"&amp;" "&amp;TEXT($B125," #.##0,00"),0)))</f>
        <v>0</v>
      </c>
      <c r="AE125" s="111">
        <f>+IF(AE$2=$E125,$D125,IF(AE$2&gt;AE$257,0,IF($C125=AE$2,"PAGAR"&amp;" "&amp;TEXT($B125," #.##0,00"),0)))</f>
        <v>0</v>
      </c>
      <c r="AF125" s="111">
        <f>+IF(AF$2=$E125,$D125,IF(AF$2&gt;AF$257,0,IF($C125=AF$2,"PAGAR"&amp;" "&amp;TEXT($B125," #.##0,00"),0)))</f>
        <v>0</v>
      </c>
      <c r="AG125" s="111">
        <f>+IF(AG$2=$E125,$D125,IF(AG$2&gt;AG$257,0,IF($C125=AG$2,"PAGAR"&amp;" "&amp;TEXT($B125," #.##0,00"),0)))</f>
        <v>0</v>
      </c>
      <c r="AH125" s="111">
        <f>+IF(AH$2=$E125,$D125,IF(AH$2&gt;AH$257,0,IF($C125=AH$2,"PAGAR"&amp;" "&amp;TEXT($B125," #.##0,00"),0)))</f>
        <v>0</v>
      </c>
      <c r="AI125" s="111">
        <f>+IF(AI$2=$E125,$D125,IF(AI$2&gt;AI$257,0,IF($C125=AI$2,"PAGAR"&amp;" "&amp;TEXT($B125," #.##0,00"),0)))</f>
        <v>0</v>
      </c>
      <c r="AJ125" s="111">
        <f>+IF(AJ$2=$E125,$D125,IF(AJ$2&gt;AJ$257,0,IF($C125=AJ$2,"PAGAR"&amp;" "&amp;TEXT($B125," #.##0,00"),0)))</f>
        <v>0</v>
      </c>
      <c r="AK125" s="111">
        <f>+IF(AK$2=$E125,$D125,IF(AK$2&gt;AK$257,0,IF($C125=AK$2,"PAGAR"&amp;" "&amp;TEXT($B125," #.##0,00"),0)))</f>
        <v>0</v>
      </c>
      <c r="AL125" s="111">
        <f>+IF(AL$2=$E125,$D125,IF(AL$2&gt;AL$257,0,IF($C125=AL$2,"PAGAR"&amp;" "&amp;TEXT($B125," #.##0,00"),0)))</f>
        <v>0</v>
      </c>
      <c r="AM125" s="111">
        <f>+IF(AM$2=$E125,$D125,IF(AM$2&gt;AM$257,0,IF($C125=AM$2,"PAGAR"&amp;" "&amp;TEXT($B125," #.##0,00"),0)))</f>
        <v>0</v>
      </c>
      <c r="AN125" s="111">
        <f t="shared" ca="1" si="28"/>
        <v>0</v>
      </c>
      <c r="AO125" s="287">
        <f t="shared" si="29"/>
        <v>0</v>
      </c>
    </row>
    <row r="126" spans="1:41" x14ac:dyDescent="0.25">
      <c r="A126" s="212" t="s">
        <v>171</v>
      </c>
      <c r="B126" s="90">
        <v>6900</v>
      </c>
      <c r="C126" s="91">
        <v>19</v>
      </c>
      <c r="D126" s="97"/>
      <c r="E126" s="166"/>
      <c r="F126" s="84">
        <f ca="1">+IF(TODAY()&lt;DATEVALUE(1&amp;D$1&amp;E$1),0,IF(C126&gt;0,IF(C126-SUM(I$255:AM$255)&lt;0,B126-SUM(I126:AM126,0),0),0))+IF(C126=-1,B126-SUM(J126:AM126))</f>
        <v>0</v>
      </c>
      <c r="G126" s="1">
        <f t="shared" si="27"/>
        <v>0</v>
      </c>
      <c r="H126" s="14"/>
      <c r="I126" s="111">
        <f>IF(I$2=$E126,$D126,IF(I$2&gt;I$257,0,IF($C126=I$2,"PAGAR"&amp;" "&amp;TEXT($B126," #.##0,00"),IF($C126=-1,"PAGAR"&amp;" "&amp;TEXT($B126," #.##0,00"),0))))</f>
        <v>0</v>
      </c>
      <c r="J126" s="111">
        <f>+IF(J$2=$E126,$D126,IF(J$2&gt;J$257,0,IF($C126=J$2,"PAGAR"&amp;" "&amp;TEXT($B126," #.##0,00"),0)))</f>
        <v>0</v>
      </c>
      <c r="K126" s="111">
        <f>+IF(K$2=$E126,$D126,IF(K$2&gt;K$257,0,IF($C126=K$2,"PAGAR"&amp;" "&amp;TEXT($B126," #.##0,00"),0)))</f>
        <v>0</v>
      </c>
      <c r="L126" s="111">
        <f>+IF(L$2=$E126,$D126,IF(L$2&gt;L$257,0,IF($C126=L$2,"PAGAR"&amp;" "&amp;TEXT($B126," #.##0,00"),0)))</f>
        <v>0</v>
      </c>
      <c r="M126" s="111">
        <f>+IF(M$2=$E126,$D126,IF(M$2&gt;M$257,0,IF($C126=M$2,"PAGAR"&amp;" "&amp;TEXT($B126," #.##0,00"),0)))</f>
        <v>0</v>
      </c>
      <c r="N126" s="111">
        <f>+IF(N$2=$E126,$D126,IF(N$2&gt;N$257,0,IF($C126=N$2,"PAGAR"&amp;" "&amp;TEXT($B126," #.##0,00"),0)))</f>
        <v>0</v>
      </c>
      <c r="O126" s="111">
        <f>+IF(O$2=$E126,$D126,IF(O$2&gt;O$257,0,IF($C126=O$2,"PAGAR"&amp;" "&amp;TEXT($B126," #.##0,00"),0)))</f>
        <v>0</v>
      </c>
      <c r="P126" s="111">
        <f>+IF(P$2=$E126,$D126,IF(P$2&gt;P$257,0,IF($C126=P$2,"PAGAR"&amp;" "&amp;TEXT($B126," #.##0,00"),0)))</f>
        <v>0</v>
      </c>
      <c r="Q126" s="111">
        <f>+IF(Q$2=$E126,$D126,IF(Q$2&gt;Q$257,0,IF($C126=Q$2,"PAGAR"&amp;" "&amp;TEXT($B126," #.##0,00"),0)))</f>
        <v>0</v>
      </c>
      <c r="R126" s="111">
        <f>+IF(R$2=$E126,$D126,IF(R$2&gt;R$257,0,IF($C126=R$2,"PAGAR"&amp;" "&amp;TEXT($B126," #.##0,00"),0)))</f>
        <v>0</v>
      </c>
      <c r="S126" s="111">
        <f>+IF(S$2=$E126,$D126,IF(S$2&gt;S$257,0,IF($C126=S$2,"PAGAR"&amp;" "&amp;TEXT($B126," #.##0,00"),0)))</f>
        <v>0</v>
      </c>
      <c r="T126" s="111">
        <f>+IF(T$2=$E126,$D126,IF(T$2&gt;T$257,0,IF($C126=T$2,"PAGAR"&amp;" "&amp;TEXT($B126," #.##0,00"),0)))</f>
        <v>0</v>
      </c>
      <c r="U126" s="111">
        <f>+IF(U$2=$E126,$D126,IF(U$2&gt;U$257,0,IF($C126=U$2,"PAGAR"&amp;" "&amp;TEXT($B126," #.##0,00"),0)))</f>
        <v>0</v>
      </c>
      <c r="V126" s="111">
        <f>+IF(V$2=$E126,$D126,IF(V$2&gt;V$257,0,IF($C126=V$2,"PAGAR"&amp;" "&amp;TEXT($B126," #.##0,00"),0)))</f>
        <v>0</v>
      </c>
      <c r="W126" s="111">
        <f>+IF(W$2=$E126,$D126,IF(W$2&gt;W$257,0,IF($C126=W$2,"PAGAR"&amp;" "&amp;TEXT($B126," #.##0,00"),0)))</f>
        <v>0</v>
      </c>
      <c r="X126" s="111">
        <f>+IF(X$2=$E126,$D126,IF(X$2&gt;X$257,0,IF($C126=X$2,"PAGAR"&amp;" "&amp;TEXT($B126," #.##0,00"),0)))</f>
        <v>0</v>
      </c>
      <c r="Y126" s="111">
        <f>+IF(Y$2=$E126,$D126,IF(Y$2&gt;Y$257,0,IF($C126=Y$2,"PAGAR"&amp;" "&amp;TEXT($B126," #.##0,00"),0)))</f>
        <v>0</v>
      </c>
      <c r="Z126" s="111">
        <f>+IF(Z$2=$E126,$D126,IF(Z$2&gt;Z$257,0,IF($C126=Z$2,"PAGAR"&amp;" "&amp;TEXT($B126," #.##0,00"),0)))</f>
        <v>0</v>
      </c>
      <c r="AA126" s="111" t="str">
        <f>+IF(AA$2=$E126,$D126,IF(AA$2&gt;AA$257,0,IF($C126=AA$2,"PAGAR"&amp;" "&amp;TEXT($B126," #.##0,00"),0)))</f>
        <v>PAGAR  6.900,00</v>
      </c>
      <c r="AB126" s="111">
        <f>+IF(AB$2=$E126,$D126,IF(AB$2&gt;AB$257,0,IF($C126=AB$2,"PAGAR"&amp;" "&amp;TEXT($B126," #.##0,00"),0)))</f>
        <v>0</v>
      </c>
      <c r="AC126" s="111">
        <f>+IF(AC$2=$E126,$D126,IF(AC$2&gt;AC$257,0,IF($C126=AC$2,"PAGAR"&amp;" "&amp;TEXT($B126," #.##0,00"),0)))</f>
        <v>0</v>
      </c>
      <c r="AD126" s="111">
        <f>+IF(AD$2=$E126,$D126,IF(AD$2&gt;AD$257,0,IF($C126=AD$2,"PAGAR"&amp;" "&amp;TEXT($B126," #.##0,00"),0)))</f>
        <v>0</v>
      </c>
      <c r="AE126" s="111">
        <f>+IF(AE$2=$E126,$D126,IF(AE$2&gt;AE$257,0,IF($C126=AE$2,"PAGAR"&amp;" "&amp;TEXT($B126," #.##0,00"),0)))</f>
        <v>0</v>
      </c>
      <c r="AF126" s="111">
        <f>+IF(AF$2=$E126,$D126,IF(AF$2&gt;AF$257,0,IF($C126=AF$2,"PAGAR"&amp;" "&amp;TEXT($B126," #.##0,00"),0)))</f>
        <v>0</v>
      </c>
      <c r="AG126" s="111">
        <f>+IF(AG$2=$E126,$D126,IF(AG$2&gt;AG$257,0,IF($C126=AG$2,"PAGAR"&amp;" "&amp;TEXT($B126," #.##0,00"),0)))</f>
        <v>0</v>
      </c>
      <c r="AH126" s="111">
        <f>+IF(AH$2=$E126,$D126,IF(AH$2&gt;AH$257,0,IF($C126=AH$2,"PAGAR"&amp;" "&amp;TEXT($B126," #.##0,00"),0)))</f>
        <v>0</v>
      </c>
      <c r="AI126" s="111">
        <f>+IF(AI$2=$E126,$D126,IF(AI$2&gt;AI$257,0,IF($C126=AI$2,"PAGAR"&amp;" "&amp;TEXT($B126," #.##0,00"),0)))</f>
        <v>0</v>
      </c>
      <c r="AJ126" s="111">
        <f>+IF(AJ$2=$E126,$D126,IF(AJ$2&gt;AJ$257,0,IF($C126=AJ$2,"PAGAR"&amp;" "&amp;TEXT($B126," #.##0,00"),0)))</f>
        <v>0</v>
      </c>
      <c r="AK126" s="111">
        <f>+IF(AK$2=$E126,$D126,IF(AK$2&gt;AK$257,0,IF($C126=AK$2,"PAGAR"&amp;" "&amp;TEXT($B126," #.##0,00"),0)))</f>
        <v>0</v>
      </c>
      <c r="AL126" s="111">
        <f>+IF(AL$2=$E126,$D126,IF(AL$2&gt;AL$257,0,IF($C126=AL$2,"PAGAR"&amp;" "&amp;TEXT($B126," #.##0,00"),0)))</f>
        <v>0</v>
      </c>
      <c r="AM126" s="111">
        <f>+IF(AM$2=$E126,$D126,IF(AM$2&gt;AM$257,0,IF($C126=AM$2,"PAGAR"&amp;" "&amp;TEXT($B126," #.##0,00"),0)))</f>
        <v>0</v>
      </c>
      <c r="AN126" s="111">
        <f t="shared" ca="1" si="28"/>
        <v>0</v>
      </c>
      <c r="AO126" s="287">
        <f t="shared" si="29"/>
        <v>0</v>
      </c>
    </row>
    <row r="127" spans="1:41" x14ac:dyDescent="0.25">
      <c r="A127" s="212" t="s">
        <v>171</v>
      </c>
      <c r="B127" s="90">
        <v>6900</v>
      </c>
      <c r="C127" s="91">
        <v>26</v>
      </c>
      <c r="D127" s="97"/>
      <c r="E127" s="166"/>
      <c r="F127" s="84">
        <f ca="1">+IF(TODAY()&lt;DATEVALUE(1&amp;D$1&amp;E$1),0,IF(C127&gt;0,IF(C127-SUM(I$255:AM$255)&lt;0,B127-SUM(I127:AM127,0),0),0))+IF(C127=-1,B127-SUM(J127:AM127))</f>
        <v>0</v>
      </c>
      <c r="G127" s="1">
        <f t="shared" si="27"/>
        <v>0</v>
      </c>
      <c r="H127" s="14"/>
      <c r="I127" s="111">
        <f>IF(I$2=$E127,$D127,IF(I$2&gt;I$257,0,IF($C127=I$2,"PAGAR"&amp;" "&amp;TEXT($B127," #.##0,00"),IF($C127=-1,"PAGAR"&amp;" "&amp;TEXT($B127," #.##0,00"),0))))</f>
        <v>0</v>
      </c>
      <c r="J127" s="111">
        <f>+IF(J$2=$E127,$D127,IF(J$2&gt;J$257,0,IF($C127=J$2,"PAGAR"&amp;" "&amp;TEXT($B127," #.##0,00"),0)))</f>
        <v>0</v>
      </c>
      <c r="K127" s="111">
        <f>+IF(K$2=$E127,$D127,IF(K$2&gt;K$257,0,IF($C127=K$2,"PAGAR"&amp;" "&amp;TEXT($B127," #.##0,00"),0)))</f>
        <v>0</v>
      </c>
      <c r="L127" s="111">
        <f>+IF(L$2=$E127,$D127,IF(L$2&gt;L$257,0,IF($C127=L$2,"PAGAR"&amp;" "&amp;TEXT($B127," #.##0,00"),0)))</f>
        <v>0</v>
      </c>
      <c r="M127" s="111">
        <f>+IF(M$2=$E127,$D127,IF(M$2&gt;M$257,0,IF($C127=M$2,"PAGAR"&amp;" "&amp;TEXT($B127," #.##0,00"),0)))</f>
        <v>0</v>
      </c>
      <c r="N127" s="111">
        <f>+IF(N$2=$E127,$D127,IF(N$2&gt;N$257,0,IF($C127=N$2,"PAGAR"&amp;" "&amp;TEXT($B127," #.##0,00"),0)))</f>
        <v>0</v>
      </c>
      <c r="O127" s="111">
        <f>+IF(O$2=$E127,$D127,IF(O$2&gt;O$257,0,IF($C127=O$2,"PAGAR"&amp;" "&amp;TEXT($B127," #.##0,00"),0)))</f>
        <v>0</v>
      </c>
      <c r="P127" s="111">
        <f>+IF(P$2=$E127,$D127,IF(P$2&gt;P$257,0,IF($C127=P$2,"PAGAR"&amp;" "&amp;TEXT($B127," #.##0,00"),0)))</f>
        <v>0</v>
      </c>
      <c r="Q127" s="111">
        <f>+IF(Q$2=$E127,$D127,IF(Q$2&gt;Q$257,0,IF($C127=Q$2,"PAGAR"&amp;" "&amp;TEXT($B127," #.##0,00"),0)))</f>
        <v>0</v>
      </c>
      <c r="R127" s="111">
        <f>+IF(R$2=$E127,$D127,IF(R$2&gt;R$257,0,IF($C127=R$2,"PAGAR"&amp;" "&amp;TEXT($B127," #.##0,00"),0)))</f>
        <v>0</v>
      </c>
      <c r="S127" s="111">
        <f>+IF(S$2=$E127,$D127,IF(S$2&gt;S$257,0,IF($C127=S$2,"PAGAR"&amp;" "&amp;TEXT($B127," #.##0,00"),0)))</f>
        <v>0</v>
      </c>
      <c r="T127" s="111">
        <f>+IF(T$2=$E127,$D127,IF(T$2&gt;T$257,0,IF($C127=T$2,"PAGAR"&amp;" "&amp;TEXT($B127," #.##0,00"),0)))</f>
        <v>0</v>
      </c>
      <c r="U127" s="111">
        <f>+IF(U$2=$E127,$D127,IF(U$2&gt;U$257,0,IF($C127=U$2,"PAGAR"&amp;" "&amp;TEXT($B127," #.##0,00"),0)))</f>
        <v>0</v>
      </c>
      <c r="V127" s="111">
        <f>+IF(V$2=$E127,$D127,IF(V$2&gt;V$257,0,IF($C127=V$2,"PAGAR"&amp;" "&amp;TEXT($B127," #.##0,00"),0)))</f>
        <v>0</v>
      </c>
      <c r="W127" s="111">
        <f>+IF(W$2=$E127,$D127,IF(W$2&gt;W$257,0,IF($C127=W$2,"PAGAR"&amp;" "&amp;TEXT($B127," #.##0,00"),0)))</f>
        <v>0</v>
      </c>
      <c r="X127" s="111">
        <f>+IF(X$2=$E127,$D127,IF(X$2&gt;X$257,0,IF($C127=X$2,"PAGAR"&amp;" "&amp;TEXT($B127," #.##0,00"),0)))</f>
        <v>0</v>
      </c>
      <c r="Y127" s="111">
        <f>+IF(Y$2=$E127,$D127,IF(Y$2&gt;Y$257,0,IF($C127=Y$2,"PAGAR"&amp;" "&amp;TEXT($B127," #.##0,00"),0)))</f>
        <v>0</v>
      </c>
      <c r="Z127" s="111">
        <f>+IF(Z$2=$E127,$D127,IF(Z$2&gt;Z$257,0,IF($C127=Z$2,"PAGAR"&amp;" "&amp;TEXT($B127," #.##0,00"),0)))</f>
        <v>0</v>
      </c>
      <c r="AA127" s="111">
        <f>+IF(AA$2=$E127,$D127,IF(AA$2&gt;AA$257,0,IF($C127=AA$2,"PAGAR"&amp;" "&amp;TEXT($B127," #.##0,00"),0)))</f>
        <v>0</v>
      </c>
      <c r="AB127" s="111">
        <f>+IF(AB$2=$E127,$D127,IF(AB$2&gt;AB$257,0,IF($C127=AB$2,"PAGAR"&amp;" "&amp;TEXT($B127," #.##0,00"),0)))</f>
        <v>0</v>
      </c>
      <c r="AC127" s="111">
        <f>+IF(AC$2=$E127,$D127,IF(AC$2&gt;AC$257,0,IF($C127=AC$2,"PAGAR"&amp;" "&amp;TEXT($B127," #.##0,00"),0)))</f>
        <v>0</v>
      </c>
      <c r="AD127" s="111">
        <f>+IF(AD$2=$E127,$D127,IF(AD$2&gt;AD$257,0,IF($C127=AD$2,"PAGAR"&amp;" "&amp;TEXT($B127," #.##0,00"),0)))</f>
        <v>0</v>
      </c>
      <c r="AE127" s="111">
        <f>+IF(AE$2=$E127,$D127,IF(AE$2&gt;AE$257,0,IF($C127=AE$2,"PAGAR"&amp;" "&amp;TEXT($B127," #.##0,00"),0)))</f>
        <v>0</v>
      </c>
      <c r="AF127" s="111">
        <f>+IF(AF$2=$E127,$D127,IF(AF$2&gt;AF$257,0,IF($C127=AF$2,"PAGAR"&amp;" "&amp;TEXT($B127," #.##0,00"),0)))</f>
        <v>0</v>
      </c>
      <c r="AG127" s="111">
        <f>+IF(AG$2=$E127,$D127,IF(AG$2&gt;AG$257,0,IF($C127=AG$2,"PAGAR"&amp;" "&amp;TEXT($B127," #.##0,00"),0)))</f>
        <v>0</v>
      </c>
      <c r="AH127" s="111" t="str">
        <f>+IF(AH$2=$E127,$D127,IF(AH$2&gt;AH$257,0,IF($C127=AH$2,"PAGAR"&amp;" "&amp;TEXT($B127," #.##0,00"),0)))</f>
        <v>PAGAR  6.900,00</v>
      </c>
      <c r="AI127" s="111">
        <f>+IF(AI$2=$E127,$D127,IF(AI$2&gt;AI$257,0,IF($C127=AI$2,"PAGAR"&amp;" "&amp;TEXT($B127," #.##0,00"),0)))</f>
        <v>0</v>
      </c>
      <c r="AJ127" s="111">
        <f>+IF(AJ$2=$E127,$D127,IF(AJ$2&gt;AJ$257,0,IF($C127=AJ$2,"PAGAR"&amp;" "&amp;TEXT($B127," #.##0,00"),0)))</f>
        <v>0</v>
      </c>
      <c r="AK127" s="111">
        <f>+IF(AK$2=$E127,$D127,IF(AK$2&gt;AK$257,0,IF($C127=AK$2,"PAGAR"&amp;" "&amp;TEXT($B127," #.##0,00"),0)))</f>
        <v>0</v>
      </c>
      <c r="AL127" s="111">
        <f>+IF(AL$2=$E127,$D127,IF(AL$2&gt;AL$257,0,IF($C127=AL$2,"PAGAR"&amp;" "&amp;TEXT($B127," #.##0,00"),0)))</f>
        <v>0</v>
      </c>
      <c r="AM127" s="111">
        <f>+IF(AM$2=$E127,$D127,IF(AM$2&gt;AM$257,0,IF($C127=AM$2,"PAGAR"&amp;" "&amp;TEXT($B127," #.##0,00"),0)))</f>
        <v>0</v>
      </c>
      <c r="AN127" s="111">
        <f t="shared" ca="1" si="28"/>
        <v>0</v>
      </c>
      <c r="AO127" s="287">
        <f t="shared" si="29"/>
        <v>0</v>
      </c>
    </row>
    <row r="128" spans="1:41" x14ac:dyDescent="0.25">
      <c r="A128" s="212"/>
      <c r="B128" s="90"/>
      <c r="C128" s="91"/>
      <c r="D128" s="97"/>
      <c r="E128" s="166"/>
      <c r="F128" s="84">
        <f ca="1">+IF(TODAY()&lt;DATEVALUE(1&amp;D$1&amp;E$1),0,IF(C128&gt;0,IF(C128-SUM(I$255:AM$255)&lt;0,B128-SUM(I128:AM128,0),0),0))+IF(C128=-1,B128-SUM(J128:AM128))</f>
        <v>0</v>
      </c>
      <c r="G128" s="1" t="str">
        <f t="shared" si="27"/>
        <v>-</v>
      </c>
      <c r="H128" s="14"/>
      <c r="I128" s="111">
        <f>IF(I$2=$E128,$D128,IF(I$2&gt;I$257,0,IF($C128=I$2,"PAGAR"&amp;" "&amp;TEXT($B128," #.##0,00"),IF($C128=-1,"PAGAR"&amp;" "&amp;TEXT($B128," #.##0,00"),0))))</f>
        <v>0</v>
      </c>
      <c r="J128" s="111">
        <f>+IF(J$2=$E128,$D128,IF(J$2&gt;J$257,0,IF($C128=J$2,"PAGAR"&amp;" "&amp;TEXT($B128," #.##0,00"),0)))</f>
        <v>0</v>
      </c>
      <c r="K128" s="111">
        <f>+IF(K$2=$E128,$D128,IF(K$2&gt;K$257,0,IF($C128=K$2,"PAGAR"&amp;" "&amp;TEXT($B128," #.##0,00"),0)))</f>
        <v>0</v>
      </c>
      <c r="L128" s="111">
        <f>+IF(L$2=$E128,$D128,IF(L$2&gt;L$257,0,IF($C128=L$2,"PAGAR"&amp;" "&amp;TEXT($B128," #.##0,00"),0)))</f>
        <v>0</v>
      </c>
      <c r="M128" s="111">
        <f>+IF(M$2=$E128,$D128,IF(M$2&gt;M$257,0,IF($C128=M$2,"PAGAR"&amp;" "&amp;TEXT($B128," #.##0,00"),0)))</f>
        <v>0</v>
      </c>
      <c r="N128" s="111">
        <f>+IF(N$2=$E128,$D128,IF(N$2&gt;N$257,0,IF($C128=N$2,"PAGAR"&amp;" "&amp;TEXT($B128," #.##0,00"),0)))</f>
        <v>0</v>
      </c>
      <c r="O128" s="111">
        <f>+IF(O$2=$E128,$D128,IF(O$2&gt;O$257,0,IF($C128=O$2,"PAGAR"&amp;" "&amp;TEXT($B128," #.##0,00"),0)))</f>
        <v>0</v>
      </c>
      <c r="P128" s="111">
        <f>+IF(P$2=$E128,$D128,IF(P$2&gt;P$257,0,IF($C128=P$2,"PAGAR"&amp;" "&amp;TEXT($B128," #.##0,00"),0)))</f>
        <v>0</v>
      </c>
      <c r="Q128" s="111">
        <f>+IF(Q$2=$E128,$D128,IF(Q$2&gt;Q$257,0,IF($C128=Q$2,"PAGAR"&amp;" "&amp;TEXT($B128," #.##0,00"),0)))</f>
        <v>0</v>
      </c>
      <c r="R128" s="111">
        <f>+IF(R$2=$E128,$D128,IF(R$2&gt;R$257,0,IF($C128=R$2,"PAGAR"&amp;" "&amp;TEXT($B128," #.##0,00"),0)))</f>
        <v>0</v>
      </c>
      <c r="S128" s="111">
        <f>+IF(S$2=$E128,$D128,IF(S$2&gt;S$257,0,IF($C128=S$2,"PAGAR"&amp;" "&amp;TEXT($B128," #.##0,00"),0)))</f>
        <v>0</v>
      </c>
      <c r="T128" s="111">
        <f>+IF(T$2=$E128,$D128,IF(T$2&gt;T$257,0,IF($C128=T$2,"PAGAR"&amp;" "&amp;TEXT($B128," #.##0,00"),0)))</f>
        <v>0</v>
      </c>
      <c r="U128" s="111">
        <f>+IF(U$2=$E128,$D128,IF(U$2&gt;U$257,0,IF($C128=U$2,"PAGAR"&amp;" "&amp;TEXT($B128," #.##0,00"),0)))</f>
        <v>0</v>
      </c>
      <c r="V128" s="111">
        <f>+IF(V$2=$E128,$D128,IF(V$2&gt;V$257,0,IF($C128=V$2,"PAGAR"&amp;" "&amp;TEXT($B128," #.##0,00"),0)))</f>
        <v>0</v>
      </c>
      <c r="W128" s="111">
        <f>+IF(W$2=$E128,$D128,IF(W$2&gt;W$257,0,IF($C128=W$2,"PAGAR"&amp;" "&amp;TEXT($B128," #.##0,00"),0)))</f>
        <v>0</v>
      </c>
      <c r="X128" s="111">
        <f>+IF(X$2=$E128,$D128,IF(X$2&gt;X$257,0,IF($C128=X$2,"PAGAR"&amp;" "&amp;TEXT($B128," #.##0,00"),0)))</f>
        <v>0</v>
      </c>
      <c r="Y128" s="111">
        <f>+IF(Y$2=$E128,$D128,IF(Y$2&gt;Y$257,0,IF($C128=Y$2,"PAGAR"&amp;" "&amp;TEXT($B128," #.##0,00"),0)))</f>
        <v>0</v>
      </c>
      <c r="Z128" s="111">
        <f>+IF(Z$2=$E128,$D128,IF(Z$2&gt;Z$257,0,IF($C128=Z$2,"PAGAR"&amp;" "&amp;TEXT($B128," #.##0,00"),0)))</f>
        <v>0</v>
      </c>
      <c r="AA128" s="111">
        <f>+IF(AA$2=$E128,$D128,IF(AA$2&gt;AA$257,0,IF($C128=AA$2,"PAGAR"&amp;" "&amp;TEXT($B128," #.##0,00"),0)))</f>
        <v>0</v>
      </c>
      <c r="AB128" s="111">
        <f>+IF(AB$2=$E128,$D128,IF(AB$2&gt;AB$257,0,IF($C128=AB$2,"PAGAR"&amp;" "&amp;TEXT($B128," #.##0,00"),0)))</f>
        <v>0</v>
      </c>
      <c r="AC128" s="111">
        <f>+IF(AC$2=$E128,$D128,IF(AC$2&gt;AC$257,0,IF($C128=AC$2,"PAGAR"&amp;" "&amp;TEXT($B128," #.##0,00"),0)))</f>
        <v>0</v>
      </c>
      <c r="AD128" s="111">
        <f>+IF(AD$2=$E128,$D128,IF(AD$2&gt;AD$257,0,IF($C128=AD$2,"PAGAR"&amp;" "&amp;TEXT($B128," #.##0,00"),0)))</f>
        <v>0</v>
      </c>
      <c r="AE128" s="111">
        <f>+IF(AE$2=$E128,$D128,IF(AE$2&gt;AE$257,0,IF($C128=AE$2,"PAGAR"&amp;" "&amp;TEXT($B128," #.##0,00"),0)))</f>
        <v>0</v>
      </c>
      <c r="AF128" s="111">
        <f>+IF(AF$2=$E128,$D128,IF(AF$2&gt;AF$257,0,IF($C128=AF$2,"PAGAR"&amp;" "&amp;TEXT($B128," #.##0,00"),0)))</f>
        <v>0</v>
      </c>
      <c r="AG128" s="111">
        <f>+IF(AG$2=$E128,$D128,IF(AG$2&gt;AG$257,0,IF($C128=AG$2,"PAGAR"&amp;" "&amp;TEXT($B128," #.##0,00"),0)))</f>
        <v>0</v>
      </c>
      <c r="AH128" s="111">
        <f>+IF(AH$2=$E128,$D128,IF(AH$2&gt;AH$257,0,IF($C128=AH$2,"PAGAR"&amp;" "&amp;TEXT($B128," #.##0,00"),0)))</f>
        <v>0</v>
      </c>
      <c r="AI128" s="111">
        <f>+IF(AI$2=$E128,$D128,IF(AI$2&gt;AI$257,0,IF($C128=AI$2,"PAGAR"&amp;" "&amp;TEXT($B128," #.##0,00"),0)))</f>
        <v>0</v>
      </c>
      <c r="AJ128" s="111">
        <f>+IF(AJ$2=$E128,$D128,IF(AJ$2&gt;AJ$257,0,IF($C128=AJ$2,"PAGAR"&amp;" "&amp;TEXT($B128," #.##0,00"),0)))</f>
        <v>0</v>
      </c>
      <c r="AK128" s="111">
        <f>+IF(AK$2=$E128,$D128,IF(AK$2&gt;AK$257,0,IF($C128=AK$2,"PAGAR"&amp;" "&amp;TEXT($B128," #.##0,00"),0)))</f>
        <v>0</v>
      </c>
      <c r="AL128" s="111">
        <f>+IF(AL$2=$E128,$D128,IF(AL$2&gt;AL$257,0,IF($C128=AL$2,"PAGAR"&amp;" "&amp;TEXT($B128," #.##0,00"),0)))</f>
        <v>0</v>
      </c>
      <c r="AM128" s="111">
        <f>+IF(AM$2=$E128,$D128,IF(AM$2&gt;AM$257,0,IF($C128=AM$2,"PAGAR"&amp;" "&amp;TEXT($B128," #.##0,00"),0)))</f>
        <v>0</v>
      </c>
      <c r="AN128" s="111">
        <f t="shared" ca="1" si="28"/>
        <v>0</v>
      </c>
      <c r="AO128" s="287">
        <f t="shared" si="29"/>
        <v>0</v>
      </c>
    </row>
    <row r="129" spans="1:41" x14ac:dyDescent="0.25">
      <c r="A129" s="212"/>
      <c r="B129" s="90"/>
      <c r="C129" s="91"/>
      <c r="D129" s="97"/>
      <c r="E129" s="166"/>
      <c r="F129" s="84">
        <f ca="1">+IF(TODAY()&lt;DATEVALUE(1&amp;D$1&amp;E$1),0,IF(C129&gt;0,IF(C129-SUM(I$255:AM$255)&lt;0,B129-SUM(I129:AM129,0),0),0))+IF(C129=-1,B129-SUM(J129:AM129))</f>
        <v>0</v>
      </c>
      <c r="G129" s="1" t="str">
        <f t="shared" si="27"/>
        <v>-</v>
      </c>
      <c r="H129" s="14"/>
      <c r="I129" s="111">
        <f>IF(I$2=$E129,$D129,IF(I$2&gt;I$257,0,IF($C129=I$2,"PAGAR"&amp;" "&amp;TEXT($B129," #.##0,00"),IF($C129=-1,"PAGAR"&amp;" "&amp;TEXT($B129," #.##0,00"),0))))</f>
        <v>0</v>
      </c>
      <c r="J129" s="111">
        <f>+IF(J$2=$E129,$D129,IF(J$2&gt;J$257,0,IF($C129=J$2,"PAGAR"&amp;" "&amp;TEXT($B129," #.##0,00"),0)))</f>
        <v>0</v>
      </c>
      <c r="K129" s="111">
        <f>+IF(K$2=$E129,$D129,IF(K$2&gt;K$257,0,IF($C129=K$2,"PAGAR"&amp;" "&amp;TEXT($B129," #.##0,00"),0)))</f>
        <v>0</v>
      </c>
      <c r="L129" s="111">
        <f>+IF(L$2=$E129,$D129,IF(L$2&gt;L$257,0,IF($C129=L$2,"PAGAR"&amp;" "&amp;TEXT($B129," #.##0,00"),0)))</f>
        <v>0</v>
      </c>
      <c r="M129" s="111">
        <f>+IF(M$2=$E129,$D129,IF(M$2&gt;M$257,0,IF($C129=M$2,"PAGAR"&amp;" "&amp;TEXT($B129," #.##0,00"),0)))</f>
        <v>0</v>
      </c>
      <c r="N129" s="111">
        <f>+IF(N$2=$E129,$D129,IF(N$2&gt;N$257,0,IF($C129=N$2,"PAGAR"&amp;" "&amp;TEXT($B129," #.##0,00"),0)))</f>
        <v>0</v>
      </c>
      <c r="O129" s="111">
        <f>+IF(O$2=$E129,$D129,IF(O$2&gt;O$257,0,IF($C129=O$2,"PAGAR"&amp;" "&amp;TEXT($B129," #.##0,00"),0)))</f>
        <v>0</v>
      </c>
      <c r="P129" s="111">
        <f>+IF(P$2=$E129,$D129,IF(P$2&gt;P$257,0,IF($C129=P$2,"PAGAR"&amp;" "&amp;TEXT($B129," #.##0,00"),0)))</f>
        <v>0</v>
      </c>
      <c r="Q129" s="111">
        <f>+IF(Q$2=$E129,$D129,IF(Q$2&gt;Q$257,0,IF($C129=Q$2,"PAGAR"&amp;" "&amp;TEXT($B129," #.##0,00"),0)))</f>
        <v>0</v>
      </c>
      <c r="R129" s="111">
        <f>+IF(R$2=$E129,$D129,IF(R$2&gt;R$257,0,IF($C129=R$2,"PAGAR"&amp;" "&amp;TEXT($B129," #.##0,00"),0)))</f>
        <v>0</v>
      </c>
      <c r="S129" s="111">
        <f>+IF(S$2=$E129,$D129,IF(S$2&gt;S$257,0,IF($C129=S$2,"PAGAR"&amp;" "&amp;TEXT($B129," #.##0,00"),0)))</f>
        <v>0</v>
      </c>
      <c r="T129" s="111">
        <f>+IF(T$2=$E129,$D129,IF(T$2&gt;T$257,0,IF($C129=T$2,"PAGAR"&amp;" "&amp;TEXT($B129," #.##0,00"),0)))</f>
        <v>0</v>
      </c>
      <c r="U129" s="111">
        <f>+IF(U$2=$E129,$D129,IF(U$2&gt;U$257,0,IF($C129=U$2,"PAGAR"&amp;" "&amp;TEXT($B129," #.##0,00"),0)))</f>
        <v>0</v>
      </c>
      <c r="V129" s="111">
        <f>+IF(V$2=$E129,$D129,IF(V$2&gt;V$257,0,IF($C129=V$2,"PAGAR"&amp;" "&amp;TEXT($B129," #.##0,00"),0)))</f>
        <v>0</v>
      </c>
      <c r="W129" s="111">
        <f>+IF(W$2=$E129,$D129,IF(W$2&gt;W$257,0,IF($C129=W$2,"PAGAR"&amp;" "&amp;TEXT($B129," #.##0,00"),0)))</f>
        <v>0</v>
      </c>
      <c r="X129" s="111">
        <f>+IF(X$2=$E129,$D129,IF(X$2&gt;X$257,0,IF($C129=X$2,"PAGAR"&amp;" "&amp;TEXT($B129," #.##0,00"),0)))</f>
        <v>0</v>
      </c>
      <c r="Y129" s="111">
        <f>+IF(Y$2=$E129,$D129,IF(Y$2&gt;Y$257,0,IF($C129=Y$2,"PAGAR"&amp;" "&amp;TEXT($B129," #.##0,00"),0)))</f>
        <v>0</v>
      </c>
      <c r="Z129" s="111">
        <f>+IF(Z$2=$E129,$D129,IF(Z$2&gt;Z$257,0,IF($C129=Z$2,"PAGAR"&amp;" "&amp;TEXT($B129," #.##0,00"),0)))</f>
        <v>0</v>
      </c>
      <c r="AA129" s="111">
        <f>+IF(AA$2=$E129,$D129,IF(AA$2&gt;AA$257,0,IF($C129=AA$2,"PAGAR"&amp;" "&amp;TEXT($B129," #.##0,00"),0)))</f>
        <v>0</v>
      </c>
      <c r="AB129" s="111">
        <f>+IF(AB$2=$E129,$D129,IF(AB$2&gt;AB$257,0,IF($C129=AB$2,"PAGAR"&amp;" "&amp;TEXT($B129," #.##0,00"),0)))</f>
        <v>0</v>
      </c>
      <c r="AC129" s="111">
        <f>+IF(AC$2=$E129,$D129,IF(AC$2&gt;AC$257,0,IF($C129=AC$2,"PAGAR"&amp;" "&amp;TEXT($B129," #.##0,00"),0)))</f>
        <v>0</v>
      </c>
      <c r="AD129" s="111">
        <f>+IF(AD$2=$E129,$D129,IF(AD$2&gt;AD$257,0,IF($C129=AD$2,"PAGAR"&amp;" "&amp;TEXT($B129," #.##0,00"),0)))</f>
        <v>0</v>
      </c>
      <c r="AE129" s="111">
        <f>+IF(AE$2=$E129,$D129,IF(AE$2&gt;AE$257,0,IF($C129=AE$2,"PAGAR"&amp;" "&amp;TEXT($B129," #.##0,00"),0)))</f>
        <v>0</v>
      </c>
      <c r="AF129" s="111">
        <f>+IF(AF$2=$E129,$D129,IF(AF$2&gt;AF$257,0,IF($C129=AF$2,"PAGAR"&amp;" "&amp;TEXT($B129," #.##0,00"),0)))</f>
        <v>0</v>
      </c>
      <c r="AG129" s="111">
        <f>+IF(AG$2=$E129,$D129,IF(AG$2&gt;AG$257,0,IF($C129=AG$2,"PAGAR"&amp;" "&amp;TEXT($B129," #.##0,00"),0)))</f>
        <v>0</v>
      </c>
      <c r="AH129" s="111">
        <f>+IF(AH$2=$E129,$D129,IF(AH$2&gt;AH$257,0,IF($C129=AH$2,"PAGAR"&amp;" "&amp;TEXT($B129," #.##0,00"),0)))</f>
        <v>0</v>
      </c>
      <c r="AI129" s="111">
        <f>+IF(AI$2=$E129,$D129,IF(AI$2&gt;AI$257,0,IF($C129=AI$2,"PAGAR"&amp;" "&amp;TEXT($B129," #.##0,00"),0)))</f>
        <v>0</v>
      </c>
      <c r="AJ129" s="111">
        <f>+IF(AJ$2=$E129,$D129,IF(AJ$2&gt;AJ$257,0,IF($C129=AJ$2,"PAGAR"&amp;" "&amp;TEXT($B129," #.##0,00"),0)))</f>
        <v>0</v>
      </c>
      <c r="AK129" s="111">
        <f>+IF(AK$2=$E129,$D129,IF(AK$2&gt;AK$257,0,IF($C129=AK$2,"PAGAR"&amp;" "&amp;TEXT($B129," #.##0,00"),0)))</f>
        <v>0</v>
      </c>
      <c r="AL129" s="111">
        <f>+IF(AL$2=$E129,$D129,IF(AL$2&gt;AL$257,0,IF($C129=AL$2,"PAGAR"&amp;" "&amp;TEXT($B129," #.##0,00"),0)))</f>
        <v>0</v>
      </c>
      <c r="AM129" s="111">
        <f>+IF(AM$2=$E129,$D129,IF(AM$2&gt;AM$257,0,IF($C129=AM$2,"PAGAR"&amp;" "&amp;TEXT($B129," #.##0,00"),0)))</f>
        <v>0</v>
      </c>
      <c r="AN129" s="111">
        <f t="shared" ca="1" si="28"/>
        <v>0</v>
      </c>
      <c r="AO129" s="287">
        <f t="shared" si="29"/>
        <v>0</v>
      </c>
    </row>
    <row r="130" spans="1:41" x14ac:dyDescent="0.25">
      <c r="A130" s="212" t="s">
        <v>170</v>
      </c>
      <c r="B130" s="90">
        <v>1081</v>
      </c>
      <c r="C130" s="91">
        <v>10</v>
      </c>
      <c r="D130" s="97"/>
      <c r="E130" s="166"/>
      <c r="F130" s="84">
        <f ca="1">+IF(TODAY()&lt;DATEVALUE(1&amp;D$1&amp;E$1),0,IF(C130&gt;0,IF(C130-SUM(I$255:AM$255)&lt;0,B130-SUM(I130:AM130,0),0),0))+IF(C130=-1,B130-SUM(J130:AM130))</f>
        <v>1081</v>
      </c>
      <c r="G130" s="1">
        <f t="shared" si="27"/>
        <v>0</v>
      </c>
      <c r="H130" s="14"/>
      <c r="I130" s="111">
        <f>IF(I$2=$E130,$D130,IF(I$2&gt;I$257,0,IF($C130=I$2,"PAGAR"&amp;" "&amp;TEXT($B130," #.##0,00"),IF($C130=-1,"PAGAR"&amp;" "&amp;TEXT($B130," #.##0,00"),0))))</f>
        <v>0</v>
      </c>
      <c r="J130" s="111">
        <f>+IF(J$2=$E130,$D130,IF(J$2&gt;J$257,0,IF($C130=J$2,"PAGAR"&amp;" "&amp;TEXT($B130," #.##0,00"),0)))</f>
        <v>0</v>
      </c>
      <c r="K130" s="111">
        <f>+IF(K$2=$E130,$D130,IF(K$2&gt;K$257,0,IF($C130=K$2,"PAGAR"&amp;" "&amp;TEXT($B130," #.##0,00"),0)))</f>
        <v>0</v>
      </c>
      <c r="L130" s="111">
        <f>+IF(L$2=$E130,$D130,IF(L$2&gt;L$257,0,IF($C130=L$2,"PAGAR"&amp;" "&amp;TEXT($B130," #.##0,00"),0)))</f>
        <v>0</v>
      </c>
      <c r="M130" s="111">
        <f>+IF(M$2=$E130,$D130,IF(M$2&gt;M$257,0,IF($C130=M$2,"PAGAR"&amp;" "&amp;TEXT($B130," #.##0,00"),0)))</f>
        <v>0</v>
      </c>
      <c r="N130" s="111">
        <f>+IF(N$2=$E130,$D130,IF(N$2&gt;N$257,0,IF($C130=N$2,"PAGAR"&amp;" "&amp;TEXT($B130," #.##0,00"),0)))</f>
        <v>0</v>
      </c>
      <c r="O130" s="111">
        <f>+IF(O$2=$E130,$D130,IF(O$2&gt;O$257,0,IF($C130=O$2,"PAGAR"&amp;" "&amp;TEXT($B130," #.##0,00"),0)))</f>
        <v>0</v>
      </c>
      <c r="P130" s="111">
        <f>+IF(P$2=$E130,$D130,IF(P$2&gt;P$257,0,IF($C130=P$2,"PAGAR"&amp;" "&amp;TEXT($B130," #.##0,00"),0)))</f>
        <v>0</v>
      </c>
      <c r="Q130" s="111">
        <f>+IF(Q$2=$E130,$D130,IF(Q$2&gt;Q$257,0,IF($C130=Q$2,"PAGAR"&amp;" "&amp;TEXT($B130," #.##0,00"),0)))</f>
        <v>0</v>
      </c>
      <c r="R130" s="111" t="str">
        <f>+IF(R$2=$E130,$D130,IF(R$2&gt;R$257,0,IF($C130=R$2,"PAGAR"&amp;" "&amp;TEXT($B130," #.##0,00"),0)))</f>
        <v>PAGAR  1.081,00</v>
      </c>
      <c r="S130" s="111">
        <f>+IF(S$2=$E130,$D130,IF(S$2&gt;S$257,0,IF($C130=S$2,"PAGAR"&amp;" "&amp;TEXT($B130," #.##0,00"),0)))</f>
        <v>0</v>
      </c>
      <c r="T130" s="111">
        <f>+IF(T$2=$E130,$D130,IF(T$2&gt;T$257,0,IF($C130=T$2,"PAGAR"&amp;" "&amp;TEXT($B130," #.##0,00"),0)))</f>
        <v>0</v>
      </c>
      <c r="U130" s="111">
        <f>+IF(U$2=$E130,$D130,IF(U$2&gt;U$257,0,IF($C130=U$2,"PAGAR"&amp;" "&amp;TEXT($B130," #.##0,00"),0)))</f>
        <v>0</v>
      </c>
      <c r="V130" s="111">
        <f>+IF(V$2=$E130,$D130,IF(V$2&gt;V$257,0,IF($C130=V$2,"PAGAR"&amp;" "&amp;TEXT($B130," #.##0,00"),0)))</f>
        <v>0</v>
      </c>
      <c r="W130" s="111">
        <f>+IF(W$2=$E130,$D130,IF(W$2&gt;W$257,0,IF($C130=W$2,"PAGAR"&amp;" "&amp;TEXT($B130," #.##0,00"),0)))</f>
        <v>0</v>
      </c>
      <c r="X130" s="111">
        <f>+IF(X$2=$E130,$D130,IF(X$2&gt;X$257,0,IF($C130=X$2,"PAGAR"&amp;" "&amp;TEXT($B130," #.##0,00"),0)))</f>
        <v>0</v>
      </c>
      <c r="Y130" s="111">
        <f>+IF(Y$2=$E130,$D130,IF(Y$2&gt;Y$257,0,IF($C130=Y$2,"PAGAR"&amp;" "&amp;TEXT($B130," #.##0,00"),0)))</f>
        <v>0</v>
      </c>
      <c r="Z130" s="111">
        <f>+IF(Z$2=$E130,$D130,IF(Z$2&gt;Z$257,0,IF($C130=Z$2,"PAGAR"&amp;" "&amp;TEXT($B130," #.##0,00"),0)))</f>
        <v>0</v>
      </c>
      <c r="AA130" s="111">
        <f>+IF(AA$2=$E130,$D130,IF(AA$2&gt;AA$257,0,IF($C130=AA$2,"PAGAR"&amp;" "&amp;TEXT($B130," #.##0,00"),0)))</f>
        <v>0</v>
      </c>
      <c r="AB130" s="111">
        <f>+IF(AB$2=$E130,$D130,IF(AB$2&gt;AB$257,0,IF($C130=AB$2,"PAGAR"&amp;" "&amp;TEXT($B130," #.##0,00"),0)))</f>
        <v>0</v>
      </c>
      <c r="AC130" s="111">
        <f>+IF(AC$2=$E130,$D130,IF(AC$2&gt;AC$257,0,IF($C130=AC$2,"PAGAR"&amp;" "&amp;TEXT($B130," #.##0,00"),0)))</f>
        <v>0</v>
      </c>
      <c r="AD130" s="111">
        <f>+IF(AD$2=$E130,$D130,IF(AD$2&gt;AD$257,0,IF($C130=AD$2,"PAGAR"&amp;" "&amp;TEXT($B130," #.##0,00"),0)))</f>
        <v>0</v>
      </c>
      <c r="AE130" s="111">
        <f>+IF(AE$2=$E130,$D130,IF(AE$2&gt;AE$257,0,IF($C130=AE$2,"PAGAR"&amp;" "&amp;TEXT($B130," #.##0,00"),0)))</f>
        <v>0</v>
      </c>
      <c r="AF130" s="111">
        <f>+IF(AF$2=$E130,$D130,IF(AF$2&gt;AF$257,0,IF($C130=AF$2,"PAGAR"&amp;" "&amp;TEXT($B130," #.##0,00"),0)))</f>
        <v>0</v>
      </c>
      <c r="AG130" s="111">
        <f>+IF(AG$2=$E130,$D130,IF(AG$2&gt;AG$257,0,IF($C130=AG$2,"PAGAR"&amp;" "&amp;TEXT($B130," #.##0,00"),0)))</f>
        <v>0</v>
      </c>
      <c r="AH130" s="111">
        <f>+IF(AH$2=$E130,$D130,IF(AH$2&gt;AH$257,0,IF($C130=AH$2,"PAGAR"&amp;" "&amp;TEXT($B130," #.##0,00"),0)))</f>
        <v>0</v>
      </c>
      <c r="AI130" s="111">
        <f>+IF(AI$2=$E130,$D130,IF(AI$2&gt;AI$257,0,IF($C130=AI$2,"PAGAR"&amp;" "&amp;TEXT($B130," #.##0,00"),0)))</f>
        <v>0</v>
      </c>
      <c r="AJ130" s="111">
        <f>+IF(AJ$2=$E130,$D130,IF(AJ$2&gt;AJ$257,0,IF($C130=AJ$2,"PAGAR"&amp;" "&amp;TEXT($B130," #.##0,00"),0)))</f>
        <v>0</v>
      </c>
      <c r="AK130" s="111">
        <f>+IF(AK$2=$E130,$D130,IF(AK$2&gt;AK$257,0,IF($C130=AK$2,"PAGAR"&amp;" "&amp;TEXT($B130," #.##0,00"),0)))</f>
        <v>0</v>
      </c>
      <c r="AL130" s="111">
        <f>+IF(AL$2=$E130,$D130,IF(AL$2&gt;AL$257,0,IF($C130=AL$2,"PAGAR"&amp;" "&amp;TEXT($B130," #.##0,00"),0)))</f>
        <v>0</v>
      </c>
      <c r="AM130" s="111">
        <f>+IF(AM$2=$E130,$D130,IF(AM$2&gt;AM$257,0,IF($C130=AM$2,"PAGAR"&amp;" "&amp;TEXT($B130," #.##0,00"),0)))</f>
        <v>0</v>
      </c>
      <c r="AN130" s="111">
        <f t="shared" ca="1" si="28"/>
        <v>0</v>
      </c>
      <c r="AO130" s="287">
        <f t="shared" si="29"/>
        <v>0</v>
      </c>
    </row>
    <row r="131" spans="1:41" ht="15.75" x14ac:dyDescent="0.25">
      <c r="A131" s="112" t="s">
        <v>76</v>
      </c>
      <c r="B131" s="6">
        <f>+SUM(B124:B130)</f>
        <v>28681</v>
      </c>
      <c r="C131" s="81"/>
      <c r="D131" s="6">
        <f>+SUM(D124:D130)</f>
        <v>0</v>
      </c>
      <c r="E131" s="81"/>
      <c r="F131" s="195">
        <f ca="1">+SUMIF(F124:F130,"&gt;0")</f>
        <v>14881</v>
      </c>
      <c r="G131" s="3">
        <f t="shared" si="27"/>
        <v>0</v>
      </c>
      <c r="H131" s="5"/>
      <c r="I131" s="2">
        <f>+PLAN2!H132</f>
        <v>0</v>
      </c>
      <c r="J131" s="2">
        <f>+PLAN2!I132</f>
        <v>0</v>
      </c>
      <c r="K131" s="2">
        <f>+PLAN2!J132</f>
        <v>0</v>
      </c>
      <c r="L131" s="2">
        <f>+PLAN2!K132</f>
        <v>0</v>
      </c>
      <c r="M131" s="2">
        <f>+PLAN2!L132</f>
        <v>6900</v>
      </c>
      <c r="N131" s="2">
        <f>+PLAN2!M132</f>
        <v>0</v>
      </c>
      <c r="O131" s="2">
        <f>+PLAN2!N132</f>
        <v>0</v>
      </c>
      <c r="P131" s="2">
        <f>+PLAN2!O132</f>
        <v>0</v>
      </c>
      <c r="Q131" s="2">
        <f>+PLAN2!P132</f>
        <v>0</v>
      </c>
      <c r="R131" s="2">
        <f>+PLAN2!Q132</f>
        <v>1081</v>
      </c>
      <c r="S131" s="2">
        <f>+PLAN2!R132</f>
        <v>0</v>
      </c>
      <c r="T131" s="2">
        <f>+PLAN2!S132</f>
        <v>6900</v>
      </c>
      <c r="U131" s="2">
        <f>+PLAN2!T132</f>
        <v>0</v>
      </c>
      <c r="V131" s="2">
        <f>+PLAN2!U132</f>
        <v>0</v>
      </c>
      <c r="W131" s="2">
        <f>+PLAN2!V132</f>
        <v>0</v>
      </c>
      <c r="X131" s="2">
        <f>+PLAN2!W132</f>
        <v>0</v>
      </c>
      <c r="Y131" s="2">
        <f>+PLAN2!X132</f>
        <v>0</v>
      </c>
      <c r="Z131" s="2">
        <f>+PLAN2!Y132</f>
        <v>0</v>
      </c>
      <c r="AA131" s="2">
        <f>+PLAN2!Z132</f>
        <v>6900</v>
      </c>
      <c r="AB131" s="2">
        <f>+PLAN2!AA132</f>
        <v>0</v>
      </c>
      <c r="AC131" s="2">
        <f>+PLAN2!AB132</f>
        <v>0</v>
      </c>
      <c r="AD131" s="2">
        <f>+PLAN2!AC132</f>
        <v>0</v>
      </c>
      <c r="AE131" s="2">
        <f>+PLAN2!AD132</f>
        <v>0</v>
      </c>
      <c r="AF131" s="2">
        <f>+PLAN2!AE132</f>
        <v>0</v>
      </c>
      <c r="AG131" s="2">
        <f>+PLAN2!AF132</f>
        <v>0</v>
      </c>
      <c r="AH131" s="2">
        <f>+PLAN2!AG132</f>
        <v>6900</v>
      </c>
      <c r="AI131" s="2">
        <f>+PLAN2!AH132</f>
        <v>0</v>
      </c>
      <c r="AJ131" s="2">
        <f>+PLAN2!AI132</f>
        <v>0</v>
      </c>
      <c r="AK131" s="2">
        <f>+PLAN2!AJ132</f>
        <v>0</v>
      </c>
      <c r="AL131" s="2">
        <f>+PLAN2!AK132</f>
        <v>0</v>
      </c>
      <c r="AM131" s="2">
        <f>+PLAN2!AL132</f>
        <v>0</v>
      </c>
      <c r="AN131" s="2">
        <f ca="1">SUM(AN124:AN130)</f>
        <v>0</v>
      </c>
      <c r="AO131" s="288"/>
    </row>
    <row r="132" spans="1:41" x14ac:dyDescent="0.25">
      <c r="A132" s="211" t="s">
        <v>54</v>
      </c>
      <c r="B132" s="109"/>
      <c r="C132" s="109"/>
      <c r="D132" s="109"/>
      <c r="E132" s="109"/>
      <c r="F132" s="109"/>
      <c r="G132" s="109"/>
      <c r="H132" s="11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  <c r="AK132" s="109"/>
      <c r="AL132" s="109"/>
      <c r="AM132" s="110"/>
      <c r="AN132" s="13"/>
      <c r="AO132" s="285"/>
    </row>
    <row r="133" spans="1:41" x14ac:dyDescent="0.25">
      <c r="A133" s="212" t="s">
        <v>172</v>
      </c>
      <c r="B133" s="90">
        <v>3237.6</v>
      </c>
      <c r="C133" s="91">
        <v>30</v>
      </c>
      <c r="D133" s="97"/>
      <c r="E133" s="166"/>
      <c r="F133" s="84">
        <f ca="1">+IF(TODAY()&lt;DATEVALUE(1&amp;D$1&amp;E$1),0,IF(C133&gt;0,IF(C133-SUM(I$255:AM$255)&lt;0,B133-SUM(I133:AM133,0),0),0))+IF(C133=-1,B133-SUM(J133:AM133))</f>
        <v>0</v>
      </c>
      <c r="G133" s="4">
        <f t="shared" ref="G133:G138" si="30">+IF(B133=0,"-",D133/B133)</f>
        <v>0</v>
      </c>
      <c r="H133" s="14"/>
      <c r="I133" s="111">
        <f>IF(I$2=$E133,$D133,IF(I$2&gt;I$257,0,IF($C133=I$2,"PAGAR"&amp;" "&amp;TEXT($B133," #.##0,00"),IF($C133=-1,"PAGAR"&amp;" "&amp;TEXT($B133," #.##0,00"),0))))</f>
        <v>0</v>
      </c>
      <c r="J133" s="111">
        <f>+IF(J$2=$E133,$D133,IF(J$2&gt;J$257,0,IF($C133=J$2,"PAGAR"&amp;" "&amp;TEXT($B133," #.##0,00"),0)))</f>
        <v>0</v>
      </c>
      <c r="K133" s="111">
        <f>+IF(K$2=$E133,$D133,IF(K$2&gt;K$257,0,IF($C133=K$2,"PAGAR"&amp;" "&amp;TEXT($B133," #.##0,00"),0)))</f>
        <v>0</v>
      </c>
      <c r="L133" s="111">
        <f>+IF(L$2=$E133,$D133,IF(L$2&gt;L$257,0,IF($C133=L$2,"PAGAR"&amp;" "&amp;TEXT($B133," #.##0,00"),0)))</f>
        <v>0</v>
      </c>
      <c r="M133" s="111">
        <f>+IF(M$2=$E133,$D133,IF(M$2&gt;M$257,0,IF($C133=M$2,"PAGAR"&amp;" "&amp;TEXT($B133," #.##0,00"),0)))</f>
        <v>0</v>
      </c>
      <c r="N133" s="111">
        <f>+IF(N$2=$E133,$D133,IF(N$2&gt;N$257,0,IF($C133=N$2,"PAGAR"&amp;" "&amp;TEXT($B133," #.##0,00"),0)))</f>
        <v>0</v>
      </c>
      <c r="O133" s="111">
        <f>+IF(O$2=$E133,$D133,IF(O$2&gt;O$257,0,IF($C133=O$2,"PAGAR"&amp;" "&amp;TEXT($B133," #.##0,00"),0)))</f>
        <v>0</v>
      </c>
      <c r="P133" s="111">
        <f>+IF(P$2=$E133,$D133,IF(P$2&gt;P$257,0,IF($C133=P$2,"PAGAR"&amp;" "&amp;TEXT($B133," #.##0,00"),0)))</f>
        <v>0</v>
      </c>
      <c r="Q133" s="111">
        <f>+IF(Q$2=$E133,$D133,IF(Q$2&gt;Q$257,0,IF($C133=Q$2,"PAGAR"&amp;" "&amp;TEXT($B133," #.##0,00"),0)))</f>
        <v>0</v>
      </c>
      <c r="R133" s="111">
        <f>+IF(R$2=$E133,$D133,IF(R$2&gt;R$257,0,IF($C133=R$2,"PAGAR"&amp;" "&amp;TEXT($B133," #.##0,00"),0)))</f>
        <v>0</v>
      </c>
      <c r="S133" s="111">
        <f>+IF(S$2=$E133,$D133,IF(S$2&gt;S$257,0,IF($C133=S$2,"PAGAR"&amp;" "&amp;TEXT($B133," #.##0,00"),0)))</f>
        <v>0</v>
      </c>
      <c r="T133" s="111">
        <f>+IF(T$2=$E133,$D133,IF(T$2&gt;T$257,0,IF($C133=T$2,"PAGAR"&amp;" "&amp;TEXT($B133," #.##0,00"),0)))</f>
        <v>0</v>
      </c>
      <c r="U133" s="111">
        <f>+IF(U$2=$E133,$D133,IF(U$2&gt;U$257,0,IF($C133=U$2,"PAGAR"&amp;" "&amp;TEXT($B133," #.##0,00"),0)))</f>
        <v>0</v>
      </c>
      <c r="V133" s="111">
        <f>+IF(V$2=$E133,$D133,IF(V$2&gt;V$257,0,IF($C133=V$2,"PAGAR"&amp;" "&amp;TEXT($B133," #.##0,00"),0)))</f>
        <v>0</v>
      </c>
      <c r="W133" s="111">
        <f>+IF(W$2=$E133,$D133,IF(W$2&gt;W$257,0,IF($C133=W$2,"PAGAR"&amp;" "&amp;TEXT($B133," #.##0,00"),0)))</f>
        <v>0</v>
      </c>
      <c r="X133" s="111">
        <f>+IF(X$2=$E133,$D133,IF(X$2&gt;X$257,0,IF($C133=X$2,"PAGAR"&amp;" "&amp;TEXT($B133," #.##0,00"),0)))</f>
        <v>0</v>
      </c>
      <c r="Y133" s="111">
        <f>+IF(Y$2=$E133,$D133,IF(Y$2&gt;Y$257,0,IF($C133=Y$2,"PAGAR"&amp;" "&amp;TEXT($B133," #.##0,00"),0)))</f>
        <v>0</v>
      </c>
      <c r="Z133" s="111">
        <f>+IF(Z$2=$E133,$D133,IF(Z$2&gt;Z$257,0,IF($C133=Z$2,"PAGAR"&amp;" "&amp;TEXT($B133," #.##0,00"),0)))</f>
        <v>0</v>
      </c>
      <c r="AA133" s="111">
        <f>+IF(AA$2=$E133,$D133,IF(AA$2&gt;AA$257,0,IF($C133=AA$2,"PAGAR"&amp;" "&amp;TEXT($B133," #.##0,00"),0)))</f>
        <v>0</v>
      </c>
      <c r="AB133" s="111">
        <f>+IF(AB$2=$E133,$D133,IF(AB$2&gt;AB$257,0,IF($C133=AB$2,"PAGAR"&amp;" "&amp;TEXT($B133," #.##0,00"),0)))</f>
        <v>0</v>
      </c>
      <c r="AC133" s="111">
        <f>+IF(AC$2=$E133,$D133,IF(AC$2&gt;AC$257,0,IF($C133=AC$2,"PAGAR"&amp;" "&amp;TEXT($B133," #.##0,00"),0)))</f>
        <v>0</v>
      </c>
      <c r="AD133" s="111">
        <f>+IF(AD$2=$E133,$D133,IF(AD$2&gt;AD$257,0,IF($C133=AD$2,"PAGAR"&amp;" "&amp;TEXT($B133," #.##0,00"),0)))</f>
        <v>0</v>
      </c>
      <c r="AE133" s="111">
        <f>+IF(AE$2=$E133,$D133,IF(AE$2&gt;AE$257,0,IF($C133=AE$2,"PAGAR"&amp;" "&amp;TEXT($B133," #.##0,00"),0)))</f>
        <v>0</v>
      </c>
      <c r="AF133" s="111">
        <f>+IF(AF$2=$E133,$D133,IF(AF$2&gt;AF$257,0,IF($C133=AF$2,"PAGAR"&amp;" "&amp;TEXT($B133," #.##0,00"),0)))</f>
        <v>0</v>
      </c>
      <c r="AG133" s="111">
        <f>+IF(AG$2=$E133,$D133,IF(AG$2&gt;AG$257,0,IF($C133=AG$2,"PAGAR"&amp;" "&amp;TEXT($B133," #.##0,00"),0)))</f>
        <v>0</v>
      </c>
      <c r="AH133" s="111">
        <f>+IF(AH$2=$E133,$D133,IF(AH$2&gt;AH$257,0,IF($C133=AH$2,"PAGAR"&amp;" "&amp;TEXT($B133," #.##0,00"),0)))</f>
        <v>0</v>
      </c>
      <c r="AI133" s="111">
        <f>+IF(AI$2=$E133,$D133,IF(AI$2&gt;AI$257,0,IF($C133=AI$2,"PAGAR"&amp;" "&amp;TEXT($B133," #.##0,00"),0)))</f>
        <v>0</v>
      </c>
      <c r="AJ133" s="111">
        <f>+IF(AJ$2=$E133,$D133,IF(AJ$2&gt;AJ$257,0,IF($C133=AJ$2,"PAGAR"&amp;" "&amp;TEXT($B133," #.##0,00"),0)))</f>
        <v>0</v>
      </c>
      <c r="AK133" s="111">
        <f>+IF(AK$2=$E133,$D133,IF(AK$2&gt;AK$257,0,IF($C133=AK$2,"PAGAR"&amp;" "&amp;TEXT($B133," #.##0,00"),0)))</f>
        <v>0</v>
      </c>
      <c r="AL133" s="111" t="str">
        <f>+IF(AL$2=$E133,$D133,IF(AL$2&gt;AL$257,0,IF($C133=AL$2,"PAGAR"&amp;" "&amp;TEXT($B133," #.##0,00"),0)))</f>
        <v>PAGAR  3.237,60</v>
      </c>
      <c r="AM133" s="111">
        <f>+IF(AM$2=$E133,$D133,IF(AM$2&gt;AM$257,0,IF($C133=AM$2,"PAGAR"&amp;" "&amp;TEXT($B133," #.##0,00"),0)))</f>
        <v>0</v>
      </c>
      <c r="AN133" s="111">
        <f t="shared" ref="AN133:AN137" ca="1" si="31">+IF(F133&lt;0,-F133,0)</f>
        <v>0</v>
      </c>
      <c r="AO133" s="287">
        <f t="shared" ref="AO133:AO137" si="32">+IF(AND(C133=0,B133&gt;0),B133,0)</f>
        <v>0</v>
      </c>
    </row>
    <row r="134" spans="1:41" x14ac:dyDescent="0.25">
      <c r="A134" s="212" t="s">
        <v>174</v>
      </c>
      <c r="B134" s="90">
        <v>1286.3499999999999</v>
      </c>
      <c r="C134" s="91">
        <v>30</v>
      </c>
      <c r="D134" s="97"/>
      <c r="E134" s="166"/>
      <c r="F134" s="84">
        <f ca="1">+IF(TODAY()&lt;DATEVALUE(1&amp;D$1&amp;E$1),0,IF(C134&gt;0,IF(C134-SUM(I$255:AM$255)&lt;0,B134-SUM(I134:AM134,0),0),0))+IF(C134=-1,B134-SUM(J134:AM134))</f>
        <v>0</v>
      </c>
      <c r="G134" s="4">
        <f t="shared" si="30"/>
        <v>0</v>
      </c>
      <c r="H134" s="14"/>
      <c r="I134" s="111">
        <f>IF(I$2=$E134,$D134,IF(I$2&gt;I$257,0,IF($C134=I$2,"PAGAR"&amp;" "&amp;TEXT($B134," #.##0,00"),IF($C134=-1,"PAGAR"&amp;" "&amp;TEXT($B134," #.##0,00"),0))))</f>
        <v>0</v>
      </c>
      <c r="J134" s="111">
        <f>+IF(J$2=$E134,$D134,IF(J$2&gt;J$257,0,IF($C134=J$2,"PAGAR"&amp;" "&amp;TEXT($B134," #.##0,00"),0)))</f>
        <v>0</v>
      </c>
      <c r="K134" s="111">
        <f>+IF(K$2=$E134,$D134,IF(K$2&gt;K$257,0,IF($C134=K$2,"PAGAR"&amp;" "&amp;TEXT($B134," #.##0,00"),0)))</f>
        <v>0</v>
      </c>
      <c r="L134" s="111">
        <f>+IF(L$2=$E134,$D134,IF(L$2&gt;L$257,0,IF($C134=L$2,"PAGAR"&amp;" "&amp;TEXT($B134," #.##0,00"),0)))</f>
        <v>0</v>
      </c>
      <c r="M134" s="111">
        <f>+IF(M$2=$E134,$D134,IF(M$2&gt;M$257,0,IF($C134=M$2,"PAGAR"&amp;" "&amp;TEXT($B134," #.##0,00"),0)))</f>
        <v>0</v>
      </c>
      <c r="N134" s="111">
        <f>+IF(N$2=$E134,$D134,IF(N$2&gt;N$257,0,IF($C134=N$2,"PAGAR"&amp;" "&amp;TEXT($B134," #.##0,00"),0)))</f>
        <v>0</v>
      </c>
      <c r="O134" s="111">
        <f>+IF(O$2=$E134,$D134,IF(O$2&gt;O$257,0,IF($C134=O$2,"PAGAR"&amp;" "&amp;TEXT($B134," #.##0,00"),0)))</f>
        <v>0</v>
      </c>
      <c r="P134" s="111">
        <f>+IF(P$2=$E134,$D134,IF(P$2&gt;P$257,0,IF($C134=P$2,"PAGAR"&amp;" "&amp;TEXT($B134," #.##0,00"),0)))</f>
        <v>0</v>
      </c>
      <c r="Q134" s="111">
        <f>+IF(Q$2=$E134,$D134,IF(Q$2&gt;Q$257,0,IF($C134=Q$2,"PAGAR"&amp;" "&amp;TEXT($B134," #.##0,00"),0)))</f>
        <v>0</v>
      </c>
      <c r="R134" s="111">
        <f>+IF(R$2=$E134,$D134,IF(R$2&gt;R$257,0,IF($C134=R$2,"PAGAR"&amp;" "&amp;TEXT($B134," #.##0,00"),0)))</f>
        <v>0</v>
      </c>
      <c r="S134" s="111">
        <f>+IF(S$2=$E134,$D134,IF(S$2&gt;S$257,0,IF($C134=S$2,"PAGAR"&amp;" "&amp;TEXT($B134," #.##0,00"),0)))</f>
        <v>0</v>
      </c>
      <c r="T134" s="111">
        <f>+IF(T$2=$E134,$D134,IF(T$2&gt;T$257,0,IF($C134=T$2,"PAGAR"&amp;" "&amp;TEXT($B134," #.##0,00"),0)))</f>
        <v>0</v>
      </c>
      <c r="U134" s="111">
        <f>+IF(U$2=$E134,$D134,IF(U$2&gt;U$257,0,IF($C134=U$2,"PAGAR"&amp;" "&amp;TEXT($B134," #.##0,00"),0)))</f>
        <v>0</v>
      </c>
      <c r="V134" s="111">
        <f>+IF(V$2=$E134,$D134,IF(V$2&gt;V$257,0,IF($C134=V$2,"PAGAR"&amp;" "&amp;TEXT($B134," #.##0,00"),0)))</f>
        <v>0</v>
      </c>
      <c r="W134" s="111">
        <f>+IF(W$2=$E134,$D134,IF(W$2&gt;W$257,0,IF($C134=W$2,"PAGAR"&amp;" "&amp;TEXT($B134," #.##0,00"),0)))</f>
        <v>0</v>
      </c>
      <c r="X134" s="111">
        <f>+IF(X$2=$E134,$D134,IF(X$2&gt;X$257,0,IF($C134=X$2,"PAGAR"&amp;" "&amp;TEXT($B134," #.##0,00"),0)))</f>
        <v>0</v>
      </c>
      <c r="Y134" s="111">
        <f>+IF(Y$2=$E134,$D134,IF(Y$2&gt;Y$257,0,IF($C134=Y$2,"PAGAR"&amp;" "&amp;TEXT($B134," #.##0,00"),0)))</f>
        <v>0</v>
      </c>
      <c r="Z134" s="111">
        <f>+IF(Z$2=$E134,$D134,IF(Z$2&gt;Z$257,0,IF($C134=Z$2,"PAGAR"&amp;" "&amp;TEXT($B134," #.##0,00"),0)))</f>
        <v>0</v>
      </c>
      <c r="AA134" s="111">
        <f>+IF(AA$2=$E134,$D134,IF(AA$2&gt;AA$257,0,IF($C134=AA$2,"PAGAR"&amp;" "&amp;TEXT($B134," #.##0,00"),0)))</f>
        <v>0</v>
      </c>
      <c r="AB134" s="111">
        <f>+IF(AB$2=$E134,$D134,IF(AB$2&gt;AB$257,0,IF($C134=AB$2,"PAGAR"&amp;" "&amp;TEXT($B134," #.##0,00"),0)))</f>
        <v>0</v>
      </c>
      <c r="AC134" s="111">
        <f>+IF(AC$2=$E134,$D134,IF(AC$2&gt;AC$257,0,IF($C134=AC$2,"PAGAR"&amp;" "&amp;TEXT($B134," #.##0,00"),0)))</f>
        <v>0</v>
      </c>
      <c r="AD134" s="111">
        <f>+IF(AD$2=$E134,$D134,IF(AD$2&gt;AD$257,0,IF($C134=AD$2,"PAGAR"&amp;" "&amp;TEXT($B134," #.##0,00"),0)))</f>
        <v>0</v>
      </c>
      <c r="AE134" s="111">
        <f>+IF(AE$2=$E134,$D134,IF(AE$2&gt;AE$257,0,IF($C134=AE$2,"PAGAR"&amp;" "&amp;TEXT($B134," #.##0,00"),0)))</f>
        <v>0</v>
      </c>
      <c r="AF134" s="111">
        <f>+IF(AF$2=$E134,$D134,IF(AF$2&gt;AF$257,0,IF($C134=AF$2,"PAGAR"&amp;" "&amp;TEXT($B134," #.##0,00"),0)))</f>
        <v>0</v>
      </c>
      <c r="AG134" s="111">
        <f>+IF(AG$2=$E134,$D134,IF(AG$2&gt;AG$257,0,IF($C134=AG$2,"PAGAR"&amp;" "&amp;TEXT($B134," #.##0,00"),0)))</f>
        <v>0</v>
      </c>
      <c r="AH134" s="111">
        <f>+IF(AH$2=$E134,$D134,IF(AH$2&gt;AH$257,0,IF($C134=AH$2,"PAGAR"&amp;" "&amp;TEXT($B134," #.##0,00"),0)))</f>
        <v>0</v>
      </c>
      <c r="AI134" s="111">
        <f>+IF(AI$2=$E134,$D134,IF(AI$2&gt;AI$257,0,IF($C134=AI$2,"PAGAR"&amp;" "&amp;TEXT($B134," #.##0,00"),0)))</f>
        <v>0</v>
      </c>
      <c r="AJ134" s="111">
        <f>+IF(AJ$2=$E134,$D134,IF(AJ$2&gt;AJ$257,0,IF($C134=AJ$2,"PAGAR"&amp;" "&amp;TEXT($B134," #.##0,00"),0)))</f>
        <v>0</v>
      </c>
      <c r="AK134" s="111">
        <f>+IF(AK$2=$E134,$D134,IF(AK$2&gt;AK$257,0,IF($C134=AK$2,"PAGAR"&amp;" "&amp;TEXT($B134," #.##0,00"),0)))</f>
        <v>0</v>
      </c>
      <c r="AL134" s="111" t="str">
        <f>+IF(AL$2=$E134,$D134,IF(AL$2&gt;AL$257,0,IF($C134=AL$2,"PAGAR"&amp;" "&amp;TEXT($B134," #.##0,00"),0)))</f>
        <v>PAGAR  1.286,35</v>
      </c>
      <c r="AM134" s="111">
        <f>+IF(AM$2=$E134,$D134,IF(AM$2&gt;AM$257,0,IF($C134=AM$2,"PAGAR"&amp;" "&amp;TEXT($B134," #.##0,00"),0)))</f>
        <v>0</v>
      </c>
      <c r="AN134" s="111">
        <f t="shared" ca="1" si="31"/>
        <v>0</v>
      </c>
      <c r="AO134" s="287">
        <f t="shared" si="32"/>
        <v>0</v>
      </c>
    </row>
    <row r="135" spans="1:41" x14ac:dyDescent="0.25">
      <c r="A135" s="212" t="s">
        <v>173</v>
      </c>
      <c r="B135" s="90"/>
      <c r="C135" s="91"/>
      <c r="D135" s="97"/>
      <c r="E135" s="166"/>
      <c r="F135" s="84">
        <f ca="1">+IF(TODAY()&lt;DATEVALUE(1&amp;D$1&amp;E$1),0,IF(C135&gt;0,IF(C135-SUM(I$255:AM$255)&lt;0,B135-SUM(I135:AM135,0),0),0))+IF(C135=-1,B135-SUM(J135:AM135))</f>
        <v>0</v>
      </c>
      <c r="G135" s="4" t="str">
        <f t="shared" si="30"/>
        <v>-</v>
      </c>
      <c r="H135" s="14"/>
      <c r="I135" s="111">
        <f>IF(I$2=$E135,$D135,IF(I$2&gt;I$257,0,IF($C135=I$2,"PAGAR"&amp;" "&amp;TEXT($B135," #.##0,00"),IF($C135=-1,"PAGAR"&amp;" "&amp;TEXT($B135," #.##0,00"),0))))</f>
        <v>0</v>
      </c>
      <c r="J135" s="111">
        <f>+IF(J$2=$E135,$D135,IF(J$2&gt;J$257,0,IF($C135=J$2,"PAGAR"&amp;" "&amp;TEXT($B135," #.##0,00"),0)))</f>
        <v>0</v>
      </c>
      <c r="K135" s="111">
        <f>+IF(K$2=$E135,$D135,IF(K$2&gt;K$257,0,IF($C135=K$2,"PAGAR"&amp;" "&amp;TEXT($B135," #.##0,00"),0)))</f>
        <v>0</v>
      </c>
      <c r="L135" s="111">
        <f>+IF(L$2=$E135,$D135,IF(L$2&gt;L$257,0,IF($C135=L$2,"PAGAR"&amp;" "&amp;TEXT($B135," #.##0,00"),0)))</f>
        <v>0</v>
      </c>
      <c r="M135" s="111">
        <f>+IF(M$2=$E135,$D135,IF(M$2&gt;M$257,0,IF($C135=M$2,"PAGAR"&amp;" "&amp;TEXT($B135," #.##0,00"),0)))</f>
        <v>0</v>
      </c>
      <c r="N135" s="111">
        <f>+IF(N$2=$E135,$D135,IF(N$2&gt;N$257,0,IF($C135=N$2,"PAGAR"&amp;" "&amp;TEXT($B135," #.##0,00"),0)))</f>
        <v>0</v>
      </c>
      <c r="O135" s="111">
        <f>+IF(O$2=$E135,$D135,IF(O$2&gt;O$257,0,IF($C135=O$2,"PAGAR"&amp;" "&amp;TEXT($B135," #.##0,00"),0)))</f>
        <v>0</v>
      </c>
      <c r="P135" s="111">
        <f>+IF(P$2=$E135,$D135,IF(P$2&gt;P$257,0,IF($C135=P$2,"PAGAR"&amp;" "&amp;TEXT($B135," #.##0,00"),0)))</f>
        <v>0</v>
      </c>
      <c r="Q135" s="111">
        <f>+IF(Q$2=$E135,$D135,IF(Q$2&gt;Q$257,0,IF($C135=Q$2,"PAGAR"&amp;" "&amp;TEXT($B135," #.##0,00"),0)))</f>
        <v>0</v>
      </c>
      <c r="R135" s="111">
        <f>+IF(R$2=$E135,$D135,IF(R$2&gt;R$257,0,IF($C135=R$2,"PAGAR"&amp;" "&amp;TEXT($B135," #.##0,00"),0)))</f>
        <v>0</v>
      </c>
      <c r="S135" s="111">
        <f>+IF(S$2=$E135,$D135,IF(S$2&gt;S$257,0,IF($C135=S$2,"PAGAR"&amp;" "&amp;TEXT($B135," #.##0,00"),0)))</f>
        <v>0</v>
      </c>
      <c r="T135" s="111">
        <f>+IF(T$2=$E135,$D135,IF(T$2&gt;T$257,0,IF($C135=T$2,"PAGAR"&amp;" "&amp;TEXT($B135," #.##0,00"),0)))</f>
        <v>0</v>
      </c>
      <c r="U135" s="111">
        <f>+IF(U$2=$E135,$D135,IF(U$2&gt;U$257,0,IF($C135=U$2,"PAGAR"&amp;" "&amp;TEXT($B135," #.##0,00"),0)))</f>
        <v>0</v>
      </c>
      <c r="V135" s="111">
        <f>+IF(V$2=$E135,$D135,IF(V$2&gt;V$257,0,IF($C135=V$2,"PAGAR"&amp;" "&amp;TEXT($B135," #.##0,00"),0)))</f>
        <v>0</v>
      </c>
      <c r="W135" s="111">
        <f>+IF(W$2=$E135,$D135,IF(W$2&gt;W$257,0,IF($C135=W$2,"PAGAR"&amp;" "&amp;TEXT($B135," #.##0,00"),0)))</f>
        <v>0</v>
      </c>
      <c r="X135" s="111">
        <f>+IF(X$2=$E135,$D135,IF(X$2&gt;X$257,0,IF($C135=X$2,"PAGAR"&amp;" "&amp;TEXT($B135," #.##0,00"),0)))</f>
        <v>0</v>
      </c>
      <c r="Y135" s="111">
        <f>+IF(Y$2=$E135,$D135,IF(Y$2&gt;Y$257,0,IF($C135=Y$2,"PAGAR"&amp;" "&amp;TEXT($B135," #.##0,00"),0)))</f>
        <v>0</v>
      </c>
      <c r="Z135" s="111">
        <f>+IF(Z$2=$E135,$D135,IF(Z$2&gt;Z$257,0,IF($C135=Z$2,"PAGAR"&amp;" "&amp;TEXT($B135," #.##0,00"),0)))</f>
        <v>0</v>
      </c>
      <c r="AA135" s="111">
        <f>+IF(AA$2=$E135,$D135,IF(AA$2&gt;AA$257,0,IF($C135=AA$2,"PAGAR"&amp;" "&amp;TEXT($B135," #.##0,00"),0)))</f>
        <v>0</v>
      </c>
      <c r="AB135" s="111">
        <f>+IF(AB$2=$E135,$D135,IF(AB$2&gt;AB$257,0,IF($C135=AB$2,"PAGAR"&amp;" "&amp;TEXT($B135," #.##0,00"),0)))</f>
        <v>0</v>
      </c>
      <c r="AC135" s="111">
        <f>+IF(AC$2=$E135,$D135,IF(AC$2&gt;AC$257,0,IF($C135=AC$2,"PAGAR"&amp;" "&amp;TEXT($B135," #.##0,00"),0)))</f>
        <v>0</v>
      </c>
      <c r="AD135" s="111">
        <f>+IF(AD$2=$E135,$D135,IF(AD$2&gt;AD$257,0,IF($C135=AD$2,"PAGAR"&amp;" "&amp;TEXT($B135," #.##0,00"),0)))</f>
        <v>0</v>
      </c>
      <c r="AE135" s="111">
        <f>+IF(AE$2=$E135,$D135,IF(AE$2&gt;AE$257,0,IF($C135=AE$2,"PAGAR"&amp;" "&amp;TEXT($B135," #.##0,00"),0)))</f>
        <v>0</v>
      </c>
      <c r="AF135" s="111">
        <f>+IF(AF$2=$E135,$D135,IF(AF$2&gt;AF$257,0,IF($C135=AF$2,"PAGAR"&amp;" "&amp;TEXT($B135," #.##0,00"),0)))</f>
        <v>0</v>
      </c>
      <c r="AG135" s="111">
        <f>+IF(AG$2=$E135,$D135,IF(AG$2&gt;AG$257,0,IF($C135=AG$2,"PAGAR"&amp;" "&amp;TEXT($B135," #.##0,00"),0)))</f>
        <v>0</v>
      </c>
      <c r="AH135" s="111">
        <f>+IF(AH$2=$E135,$D135,IF(AH$2&gt;AH$257,0,IF($C135=AH$2,"PAGAR"&amp;" "&amp;TEXT($B135," #.##0,00"),0)))</f>
        <v>0</v>
      </c>
      <c r="AI135" s="111">
        <f>+IF(AI$2=$E135,$D135,IF(AI$2&gt;AI$257,0,IF($C135=AI$2,"PAGAR"&amp;" "&amp;TEXT($B135," #.##0,00"),0)))</f>
        <v>0</v>
      </c>
      <c r="AJ135" s="111">
        <f>+IF(AJ$2=$E135,$D135,IF(AJ$2&gt;AJ$257,0,IF($C135=AJ$2,"PAGAR"&amp;" "&amp;TEXT($B135," #.##0,00"),0)))</f>
        <v>0</v>
      </c>
      <c r="AK135" s="111">
        <f>+IF(AK$2=$E135,$D135,IF(AK$2&gt;AK$257,0,IF($C135=AK$2,"PAGAR"&amp;" "&amp;TEXT($B135," #.##0,00"),0)))</f>
        <v>0</v>
      </c>
      <c r="AL135" s="111">
        <f>+IF(AL$2=$E135,$D135,IF(AL$2&gt;AL$257,0,IF($C135=AL$2,"PAGAR"&amp;" "&amp;TEXT($B135," #.##0,00"),0)))</f>
        <v>0</v>
      </c>
      <c r="AM135" s="111">
        <f>+IF(AM$2=$E135,$D135,IF(AM$2&gt;AM$257,0,IF($C135=AM$2,"PAGAR"&amp;" "&amp;TEXT($B135," #.##0,00"),0)))</f>
        <v>0</v>
      </c>
      <c r="AN135" s="111">
        <f t="shared" ca="1" si="31"/>
        <v>0</v>
      </c>
      <c r="AO135" s="287">
        <f t="shared" si="32"/>
        <v>0</v>
      </c>
    </row>
    <row r="136" spans="1:41" x14ac:dyDescent="0.25">
      <c r="A136" s="212"/>
      <c r="B136" s="90"/>
      <c r="C136" s="91"/>
      <c r="D136" s="97"/>
      <c r="E136" s="166"/>
      <c r="F136" s="84">
        <f ca="1">+IF(TODAY()&lt;DATEVALUE(1&amp;D$1&amp;E$1),0,IF(C136&gt;0,IF(C136-SUM(I$255:AM$255)&lt;0,B136-SUM(I136:AM136,0),0),0))+IF(C136=-1,B136-SUM(J136:AM136))</f>
        <v>0</v>
      </c>
      <c r="G136" s="4" t="str">
        <f t="shared" si="30"/>
        <v>-</v>
      </c>
      <c r="H136" s="14"/>
      <c r="I136" s="111">
        <f>IF(I$2=$E136,$D136,IF(I$2&gt;I$257,0,IF($C136=I$2,"PAGAR"&amp;" "&amp;TEXT($B136," #.##0,00"),IF($C136=-1,"PAGAR"&amp;" "&amp;TEXT($B136," #.##0,00"),0))))</f>
        <v>0</v>
      </c>
      <c r="J136" s="111">
        <f>+IF(J$2=$E136,$D136,IF(J$2&gt;J$257,0,IF($C136=J$2,"PAGAR"&amp;" "&amp;TEXT($B136," #.##0,00"),0)))</f>
        <v>0</v>
      </c>
      <c r="K136" s="111">
        <f>+IF(K$2=$E136,$D136,IF(K$2&gt;K$257,0,IF($C136=K$2,"PAGAR"&amp;" "&amp;TEXT($B136," #.##0,00"),0)))</f>
        <v>0</v>
      </c>
      <c r="L136" s="111">
        <f>+IF(L$2=$E136,$D136,IF(L$2&gt;L$257,0,IF($C136=L$2,"PAGAR"&amp;" "&amp;TEXT($B136," #.##0,00"),0)))</f>
        <v>0</v>
      </c>
      <c r="M136" s="111">
        <f>+IF(M$2=$E136,$D136,IF(M$2&gt;M$257,0,IF($C136=M$2,"PAGAR"&amp;" "&amp;TEXT($B136," #.##0,00"),0)))</f>
        <v>0</v>
      </c>
      <c r="N136" s="111">
        <f>+IF(N$2=$E136,$D136,IF(N$2&gt;N$257,0,IF($C136=N$2,"PAGAR"&amp;" "&amp;TEXT($B136," #.##0,00"),0)))</f>
        <v>0</v>
      </c>
      <c r="O136" s="111">
        <f>+IF(O$2=$E136,$D136,IF(O$2&gt;O$257,0,IF($C136=O$2,"PAGAR"&amp;" "&amp;TEXT($B136," #.##0,00"),0)))</f>
        <v>0</v>
      </c>
      <c r="P136" s="111">
        <f>+IF(P$2=$E136,$D136,IF(P$2&gt;P$257,0,IF($C136=P$2,"PAGAR"&amp;" "&amp;TEXT($B136," #.##0,00"),0)))</f>
        <v>0</v>
      </c>
      <c r="Q136" s="111">
        <f>+IF(Q$2=$E136,$D136,IF(Q$2&gt;Q$257,0,IF($C136=Q$2,"PAGAR"&amp;" "&amp;TEXT($B136," #.##0,00"),0)))</f>
        <v>0</v>
      </c>
      <c r="R136" s="111">
        <f>+IF(R$2=$E136,$D136,IF(R$2&gt;R$257,0,IF($C136=R$2,"PAGAR"&amp;" "&amp;TEXT($B136," #.##0,00"),0)))</f>
        <v>0</v>
      </c>
      <c r="S136" s="111">
        <f>+IF(S$2=$E136,$D136,IF(S$2&gt;S$257,0,IF($C136=S$2,"PAGAR"&amp;" "&amp;TEXT($B136," #.##0,00"),0)))</f>
        <v>0</v>
      </c>
      <c r="T136" s="111">
        <f>+IF(T$2=$E136,$D136,IF(T$2&gt;T$257,0,IF($C136=T$2,"PAGAR"&amp;" "&amp;TEXT($B136," #.##0,00"),0)))</f>
        <v>0</v>
      </c>
      <c r="U136" s="111">
        <f>+IF(U$2=$E136,$D136,IF(U$2&gt;U$257,0,IF($C136=U$2,"PAGAR"&amp;" "&amp;TEXT($B136," #.##0,00"),0)))</f>
        <v>0</v>
      </c>
      <c r="V136" s="111">
        <f>+IF(V$2=$E136,$D136,IF(V$2&gt;V$257,0,IF($C136=V$2,"PAGAR"&amp;" "&amp;TEXT($B136," #.##0,00"),0)))</f>
        <v>0</v>
      </c>
      <c r="W136" s="111">
        <f>+IF(W$2=$E136,$D136,IF(W$2&gt;W$257,0,IF($C136=W$2,"PAGAR"&amp;" "&amp;TEXT($B136," #.##0,00"),0)))</f>
        <v>0</v>
      </c>
      <c r="X136" s="111">
        <f>+IF(X$2=$E136,$D136,IF(X$2&gt;X$257,0,IF($C136=X$2,"PAGAR"&amp;" "&amp;TEXT($B136," #.##0,00"),0)))</f>
        <v>0</v>
      </c>
      <c r="Y136" s="111">
        <f>+IF(Y$2=$E136,$D136,IF(Y$2&gt;Y$257,0,IF($C136=Y$2,"PAGAR"&amp;" "&amp;TEXT($B136," #.##0,00"),0)))</f>
        <v>0</v>
      </c>
      <c r="Z136" s="111">
        <f>+IF(Z$2=$E136,$D136,IF(Z$2&gt;Z$257,0,IF($C136=Z$2,"PAGAR"&amp;" "&amp;TEXT($B136," #.##0,00"),0)))</f>
        <v>0</v>
      </c>
      <c r="AA136" s="111">
        <f>+IF(AA$2=$E136,$D136,IF(AA$2&gt;AA$257,0,IF($C136=AA$2,"PAGAR"&amp;" "&amp;TEXT($B136," #.##0,00"),0)))</f>
        <v>0</v>
      </c>
      <c r="AB136" s="111">
        <f>+IF(AB$2=$E136,$D136,IF(AB$2&gt;AB$257,0,IF($C136=AB$2,"PAGAR"&amp;" "&amp;TEXT($B136," #.##0,00"),0)))</f>
        <v>0</v>
      </c>
      <c r="AC136" s="111">
        <f>+IF(AC$2=$E136,$D136,IF(AC$2&gt;AC$257,0,IF($C136=AC$2,"PAGAR"&amp;" "&amp;TEXT($B136," #.##0,00"),0)))</f>
        <v>0</v>
      </c>
      <c r="AD136" s="111">
        <f>+IF(AD$2=$E136,$D136,IF(AD$2&gt;AD$257,0,IF($C136=AD$2,"PAGAR"&amp;" "&amp;TEXT($B136," #.##0,00"),0)))</f>
        <v>0</v>
      </c>
      <c r="AE136" s="111">
        <f>+IF(AE$2=$E136,$D136,IF(AE$2&gt;AE$257,0,IF($C136=AE$2,"PAGAR"&amp;" "&amp;TEXT($B136," #.##0,00"),0)))</f>
        <v>0</v>
      </c>
      <c r="AF136" s="111">
        <f>+IF(AF$2=$E136,$D136,IF(AF$2&gt;AF$257,0,IF($C136=AF$2,"PAGAR"&amp;" "&amp;TEXT($B136," #.##0,00"),0)))</f>
        <v>0</v>
      </c>
      <c r="AG136" s="111">
        <f>+IF(AG$2=$E136,$D136,IF(AG$2&gt;AG$257,0,IF($C136=AG$2,"PAGAR"&amp;" "&amp;TEXT($B136," #.##0,00"),0)))</f>
        <v>0</v>
      </c>
      <c r="AH136" s="111">
        <f>+IF(AH$2=$E136,$D136,IF(AH$2&gt;AH$257,0,IF($C136=AH$2,"PAGAR"&amp;" "&amp;TEXT($B136," #.##0,00"),0)))</f>
        <v>0</v>
      </c>
      <c r="AI136" s="111">
        <f>+IF(AI$2=$E136,$D136,IF(AI$2&gt;AI$257,0,IF($C136=AI$2,"PAGAR"&amp;" "&amp;TEXT($B136," #.##0,00"),0)))</f>
        <v>0</v>
      </c>
      <c r="AJ136" s="111">
        <f>+IF(AJ$2=$E136,$D136,IF(AJ$2&gt;AJ$257,0,IF($C136=AJ$2,"PAGAR"&amp;" "&amp;TEXT($B136," #.##0,00"),0)))</f>
        <v>0</v>
      </c>
      <c r="AK136" s="111">
        <f>+IF(AK$2=$E136,$D136,IF(AK$2&gt;AK$257,0,IF($C136=AK$2,"PAGAR"&amp;" "&amp;TEXT($B136," #.##0,00"),0)))</f>
        <v>0</v>
      </c>
      <c r="AL136" s="111">
        <f>+IF(AL$2=$E136,$D136,IF(AL$2&gt;AL$257,0,IF($C136=AL$2,"PAGAR"&amp;" "&amp;TEXT($B136," #.##0,00"),0)))</f>
        <v>0</v>
      </c>
      <c r="AM136" s="111">
        <f>+IF(AM$2=$E136,$D136,IF(AM$2&gt;AM$257,0,IF($C136=AM$2,"PAGAR"&amp;" "&amp;TEXT($B136," #.##0,00"),0)))</f>
        <v>0</v>
      </c>
      <c r="AN136" s="111">
        <f t="shared" ca="1" si="31"/>
        <v>0</v>
      </c>
      <c r="AO136" s="287">
        <f t="shared" si="32"/>
        <v>0</v>
      </c>
    </row>
    <row r="137" spans="1:41" x14ac:dyDescent="0.25">
      <c r="A137" s="212"/>
      <c r="B137" s="90"/>
      <c r="C137" s="91"/>
      <c r="D137" s="97"/>
      <c r="E137" s="166"/>
      <c r="F137" s="84">
        <f ca="1">+IF(TODAY()&lt;DATEVALUE(1&amp;D$1&amp;E$1),0,IF(C137&gt;0,IF(C137-SUM(I$255:AM$255)&lt;0,B137-SUM(I137:AM137,0),0),0))+IF(C137=-1,B137-SUM(J137:AM137))</f>
        <v>0</v>
      </c>
      <c r="G137" s="4" t="str">
        <f t="shared" si="30"/>
        <v>-</v>
      </c>
      <c r="H137" s="14"/>
      <c r="I137" s="111">
        <f>IF(I$2=$E137,$D137,IF(I$2&gt;I$257,0,IF($C137=I$2,"PAGAR"&amp;" "&amp;TEXT($B137," #.##0,00"),IF($C137=-1,"PAGAR"&amp;" "&amp;TEXT($B137," #.##0,00"),0))))</f>
        <v>0</v>
      </c>
      <c r="J137" s="111">
        <f>+IF(J$2=$E137,$D137,IF(J$2&gt;J$257,0,IF($C137=J$2,"PAGAR"&amp;" "&amp;TEXT($B137," #.##0,00"),0)))</f>
        <v>0</v>
      </c>
      <c r="K137" s="111">
        <f>+IF(K$2=$E137,$D137,IF(K$2&gt;K$257,0,IF($C137=K$2,"PAGAR"&amp;" "&amp;TEXT($B137," #.##0,00"),0)))</f>
        <v>0</v>
      </c>
      <c r="L137" s="111">
        <f>+IF(L$2=$E137,$D137,IF(L$2&gt;L$257,0,IF($C137=L$2,"PAGAR"&amp;" "&amp;TEXT($B137," #.##0,00"),0)))</f>
        <v>0</v>
      </c>
      <c r="M137" s="111">
        <f>+IF(M$2=$E137,$D137,IF(M$2&gt;M$257,0,IF($C137=M$2,"PAGAR"&amp;" "&amp;TEXT($B137," #.##0,00"),0)))</f>
        <v>0</v>
      </c>
      <c r="N137" s="111">
        <f>+IF(N$2=$E137,$D137,IF(N$2&gt;N$257,0,IF($C137=N$2,"PAGAR"&amp;" "&amp;TEXT($B137," #.##0,00"),0)))</f>
        <v>0</v>
      </c>
      <c r="O137" s="111">
        <f>+IF(O$2=$E137,$D137,IF(O$2&gt;O$257,0,IF($C137=O$2,"PAGAR"&amp;" "&amp;TEXT($B137," #.##0,00"),0)))</f>
        <v>0</v>
      </c>
      <c r="P137" s="111">
        <f>+IF(P$2=$E137,$D137,IF(P$2&gt;P$257,0,IF($C137=P$2,"PAGAR"&amp;" "&amp;TEXT($B137," #.##0,00"),0)))</f>
        <v>0</v>
      </c>
      <c r="Q137" s="111">
        <f>+IF(Q$2=$E137,$D137,IF(Q$2&gt;Q$257,0,IF($C137=Q$2,"PAGAR"&amp;" "&amp;TEXT($B137," #.##0,00"),0)))</f>
        <v>0</v>
      </c>
      <c r="R137" s="111">
        <f>+IF(R$2=$E137,$D137,IF(R$2&gt;R$257,0,IF($C137=R$2,"PAGAR"&amp;" "&amp;TEXT($B137," #.##0,00"),0)))</f>
        <v>0</v>
      </c>
      <c r="S137" s="111">
        <f>+IF(S$2=$E137,$D137,IF(S$2&gt;S$257,0,IF($C137=S$2,"PAGAR"&amp;" "&amp;TEXT($B137," #.##0,00"),0)))</f>
        <v>0</v>
      </c>
      <c r="T137" s="111">
        <f>+IF(T$2=$E137,$D137,IF(T$2&gt;T$257,0,IF($C137=T$2,"PAGAR"&amp;" "&amp;TEXT($B137," #.##0,00"),0)))</f>
        <v>0</v>
      </c>
      <c r="U137" s="111">
        <f>+IF(U$2=$E137,$D137,IF(U$2&gt;U$257,0,IF($C137=U$2,"PAGAR"&amp;" "&amp;TEXT($B137," #.##0,00"),0)))</f>
        <v>0</v>
      </c>
      <c r="V137" s="111">
        <f>+IF(V$2=$E137,$D137,IF(V$2&gt;V$257,0,IF($C137=V$2,"PAGAR"&amp;" "&amp;TEXT($B137," #.##0,00"),0)))</f>
        <v>0</v>
      </c>
      <c r="W137" s="111">
        <f>+IF(W$2=$E137,$D137,IF(W$2&gt;W$257,0,IF($C137=W$2,"PAGAR"&amp;" "&amp;TEXT($B137," #.##0,00"),0)))</f>
        <v>0</v>
      </c>
      <c r="X137" s="111">
        <f>+IF(X$2=$E137,$D137,IF(X$2&gt;X$257,0,IF($C137=X$2,"PAGAR"&amp;" "&amp;TEXT($B137," #.##0,00"),0)))</f>
        <v>0</v>
      </c>
      <c r="Y137" s="111">
        <f>+IF(Y$2=$E137,$D137,IF(Y$2&gt;Y$257,0,IF($C137=Y$2,"PAGAR"&amp;" "&amp;TEXT($B137," #.##0,00"),0)))</f>
        <v>0</v>
      </c>
      <c r="Z137" s="111">
        <f>+IF(Z$2=$E137,$D137,IF(Z$2&gt;Z$257,0,IF($C137=Z$2,"PAGAR"&amp;" "&amp;TEXT($B137," #.##0,00"),0)))</f>
        <v>0</v>
      </c>
      <c r="AA137" s="111">
        <f>+IF(AA$2=$E137,$D137,IF(AA$2&gt;AA$257,0,IF($C137=AA$2,"PAGAR"&amp;" "&amp;TEXT($B137," #.##0,00"),0)))</f>
        <v>0</v>
      </c>
      <c r="AB137" s="111">
        <f>+IF(AB$2=$E137,$D137,IF(AB$2&gt;AB$257,0,IF($C137=AB$2,"PAGAR"&amp;" "&amp;TEXT($B137," #.##0,00"),0)))</f>
        <v>0</v>
      </c>
      <c r="AC137" s="111">
        <f>+IF(AC$2=$E137,$D137,IF(AC$2&gt;AC$257,0,IF($C137=AC$2,"PAGAR"&amp;" "&amp;TEXT($B137," #.##0,00"),0)))</f>
        <v>0</v>
      </c>
      <c r="AD137" s="111">
        <f>+IF(AD$2=$E137,$D137,IF(AD$2&gt;AD$257,0,IF($C137=AD$2,"PAGAR"&amp;" "&amp;TEXT($B137," #.##0,00"),0)))</f>
        <v>0</v>
      </c>
      <c r="AE137" s="111">
        <f>+IF(AE$2=$E137,$D137,IF(AE$2&gt;AE$257,0,IF($C137=AE$2,"PAGAR"&amp;" "&amp;TEXT($B137," #.##0,00"),0)))</f>
        <v>0</v>
      </c>
      <c r="AF137" s="111">
        <f>+IF(AF$2=$E137,$D137,IF(AF$2&gt;AF$257,0,IF($C137=AF$2,"PAGAR"&amp;" "&amp;TEXT($B137," #.##0,00"),0)))</f>
        <v>0</v>
      </c>
      <c r="AG137" s="111">
        <f>+IF(AG$2=$E137,$D137,IF(AG$2&gt;AG$257,0,IF($C137=AG$2,"PAGAR"&amp;" "&amp;TEXT($B137," #.##0,00"),0)))</f>
        <v>0</v>
      </c>
      <c r="AH137" s="111">
        <f>+IF(AH$2=$E137,$D137,IF(AH$2&gt;AH$257,0,IF($C137=AH$2,"PAGAR"&amp;" "&amp;TEXT($B137," #.##0,00"),0)))</f>
        <v>0</v>
      </c>
      <c r="AI137" s="111">
        <f>+IF(AI$2=$E137,$D137,IF(AI$2&gt;AI$257,0,IF($C137=AI$2,"PAGAR"&amp;" "&amp;TEXT($B137," #.##0,00"),0)))</f>
        <v>0</v>
      </c>
      <c r="AJ137" s="111">
        <f>+IF(AJ$2=$E137,$D137,IF(AJ$2&gt;AJ$257,0,IF($C137=AJ$2,"PAGAR"&amp;" "&amp;TEXT($B137," #.##0,00"),0)))</f>
        <v>0</v>
      </c>
      <c r="AK137" s="111">
        <f>+IF(AK$2=$E137,$D137,IF(AK$2&gt;AK$257,0,IF($C137=AK$2,"PAGAR"&amp;" "&amp;TEXT($B137," #.##0,00"),0)))</f>
        <v>0</v>
      </c>
      <c r="AL137" s="111">
        <f>+IF(AL$2=$E137,$D137,IF(AL$2&gt;AL$257,0,IF($C137=AL$2,"PAGAR"&amp;" "&amp;TEXT($B137," #.##0,00"),0)))</f>
        <v>0</v>
      </c>
      <c r="AM137" s="111">
        <f>+IF(AM$2=$E137,$D137,IF(AM$2&gt;AM$257,0,IF($C137=AM$2,"PAGAR"&amp;" "&amp;TEXT($B137," #.##0,00"),0)))</f>
        <v>0</v>
      </c>
      <c r="AN137" s="111">
        <f t="shared" ca="1" si="31"/>
        <v>0</v>
      </c>
      <c r="AO137" s="287">
        <f t="shared" si="32"/>
        <v>0</v>
      </c>
    </row>
    <row r="138" spans="1:41" ht="15.75" x14ac:dyDescent="0.25">
      <c r="A138" s="112" t="s">
        <v>76</v>
      </c>
      <c r="B138" s="6">
        <f>+SUM(B133:B137)</f>
        <v>4523.95</v>
      </c>
      <c r="C138" s="81"/>
      <c r="D138" s="6">
        <f>+SUM(D133:D137)</f>
        <v>0</v>
      </c>
      <c r="E138" s="81"/>
      <c r="F138" s="195">
        <f ca="1">+SUMIF(F133:F137,"&gt;0")</f>
        <v>0</v>
      </c>
      <c r="G138" s="3">
        <f t="shared" si="30"/>
        <v>0</v>
      </c>
      <c r="H138" s="5"/>
      <c r="I138" s="2">
        <f>+PLAN2!H139</f>
        <v>0</v>
      </c>
      <c r="J138" s="2">
        <f>+PLAN2!I139</f>
        <v>0</v>
      </c>
      <c r="K138" s="2">
        <f>+PLAN2!J139</f>
        <v>0</v>
      </c>
      <c r="L138" s="2">
        <f>+PLAN2!K139</f>
        <v>0</v>
      </c>
      <c r="M138" s="2">
        <f>+PLAN2!L139</f>
        <v>0</v>
      </c>
      <c r="N138" s="2">
        <f>+PLAN2!M139</f>
        <v>0</v>
      </c>
      <c r="O138" s="2">
        <f>+PLAN2!N139</f>
        <v>0</v>
      </c>
      <c r="P138" s="2">
        <f>+PLAN2!O139</f>
        <v>0</v>
      </c>
      <c r="Q138" s="2">
        <f>+PLAN2!P139</f>
        <v>0</v>
      </c>
      <c r="R138" s="2">
        <f>+PLAN2!Q139</f>
        <v>0</v>
      </c>
      <c r="S138" s="2">
        <f>+PLAN2!R139</f>
        <v>0</v>
      </c>
      <c r="T138" s="2">
        <f>+PLAN2!S139</f>
        <v>0</v>
      </c>
      <c r="U138" s="2">
        <f>+PLAN2!T139</f>
        <v>0</v>
      </c>
      <c r="V138" s="2">
        <f>+PLAN2!U139</f>
        <v>0</v>
      </c>
      <c r="W138" s="2">
        <f>+PLAN2!V139</f>
        <v>0</v>
      </c>
      <c r="X138" s="2">
        <f>+PLAN2!W139</f>
        <v>0</v>
      </c>
      <c r="Y138" s="2">
        <f>+PLAN2!X139</f>
        <v>0</v>
      </c>
      <c r="Z138" s="2">
        <f>+PLAN2!Y139</f>
        <v>0</v>
      </c>
      <c r="AA138" s="2">
        <f>+PLAN2!Z139</f>
        <v>0</v>
      </c>
      <c r="AB138" s="2">
        <f>+PLAN2!AA139</f>
        <v>0</v>
      </c>
      <c r="AC138" s="2">
        <f>+PLAN2!AB139</f>
        <v>0</v>
      </c>
      <c r="AD138" s="2">
        <f>+PLAN2!AC139</f>
        <v>0</v>
      </c>
      <c r="AE138" s="2">
        <f>+PLAN2!AD139</f>
        <v>0</v>
      </c>
      <c r="AF138" s="2">
        <f>+PLAN2!AE139</f>
        <v>0</v>
      </c>
      <c r="AG138" s="2">
        <f>+PLAN2!AF139</f>
        <v>0</v>
      </c>
      <c r="AH138" s="2">
        <f>+PLAN2!AG139</f>
        <v>0</v>
      </c>
      <c r="AI138" s="2">
        <f>+PLAN2!AH139</f>
        <v>0</v>
      </c>
      <c r="AJ138" s="2">
        <f>+PLAN2!AI139</f>
        <v>0</v>
      </c>
      <c r="AK138" s="2">
        <f>+PLAN2!AJ139</f>
        <v>0</v>
      </c>
      <c r="AL138" s="2">
        <f>+PLAN2!AK139</f>
        <v>4523.95</v>
      </c>
      <c r="AM138" s="2">
        <f>+PLAN2!AL139</f>
        <v>0</v>
      </c>
      <c r="AN138" s="2">
        <f ca="1">SUM(AN133:AN137)</f>
        <v>0</v>
      </c>
      <c r="AO138" s="288"/>
    </row>
    <row r="139" spans="1:41" x14ac:dyDescent="0.25">
      <c r="A139" s="211" t="s">
        <v>55</v>
      </c>
      <c r="B139" s="109"/>
      <c r="C139" s="109"/>
      <c r="D139" s="109"/>
      <c r="E139" s="109"/>
      <c r="F139" s="109"/>
      <c r="G139" s="109"/>
      <c r="H139" s="11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09"/>
      <c r="AK139" s="109"/>
      <c r="AL139" s="109"/>
      <c r="AM139" s="110"/>
      <c r="AN139" s="13"/>
      <c r="AO139" s="285"/>
    </row>
    <row r="140" spans="1:41" x14ac:dyDescent="0.25">
      <c r="A140" s="212" t="s">
        <v>181</v>
      </c>
      <c r="B140" s="90">
        <v>8500</v>
      </c>
      <c r="C140" s="91">
        <v>-1</v>
      </c>
      <c r="D140" s="97"/>
      <c r="E140" s="166"/>
      <c r="F140" s="84">
        <f ca="1">+IF(TODAY()&lt;DATEVALUE(1&amp;D$1&amp;E$1),0,IF(C140&gt;0,IF(C140-SUM(I$255:AM$255)&lt;0,B140-SUM(I140:AM140,0),0),0))+IF(C140=-1,B140-SUM(J140:AM140))</f>
        <v>8500</v>
      </c>
      <c r="G140" s="4">
        <f t="shared" ref="G140:G153" si="33">+IF(B140=0,"-",D140/B140)</f>
        <v>0</v>
      </c>
      <c r="H140" s="14"/>
      <c r="I140" s="111" t="str">
        <f>IF(I$2=$E140,$D140,IF(I$2&gt;I$257,0,IF($C140=I$2,"PAGAR"&amp;" "&amp;TEXT($B140," #.##0,00"),IF($C140=-1,"PAGAR"&amp;" "&amp;TEXT($B140," #.##0,00"),0))))</f>
        <v>PAGAR  8.500,00</v>
      </c>
      <c r="J140" s="111">
        <f>+IF(J$2=$E140,$D140,IF(J$2&gt;J$257,0,IF($C140=J$2,"PAGAR"&amp;" "&amp;TEXT($B140," #.##0,00"),0)))</f>
        <v>0</v>
      </c>
      <c r="K140" s="111">
        <f>+IF(K$2=$E140,$D140,IF(K$2&gt;K$257,0,IF($C140=K$2,"PAGAR"&amp;" "&amp;TEXT($B140," #.##0,00"),0)))</f>
        <v>0</v>
      </c>
      <c r="L140" s="111">
        <f>+IF(L$2=$E140,$D140,IF(L$2&gt;L$257,0,IF($C140=L$2,"PAGAR"&amp;" "&amp;TEXT($B140," #.##0,00"),0)))</f>
        <v>0</v>
      </c>
      <c r="M140" s="111">
        <f>+IF(M$2=$E140,$D140,IF(M$2&gt;M$257,0,IF($C140=M$2,"PAGAR"&amp;" "&amp;TEXT($B140," #.##0,00"),0)))</f>
        <v>0</v>
      </c>
      <c r="N140" s="111">
        <f>+IF(N$2=$E140,$D140,IF(N$2&gt;N$257,0,IF($C140=N$2,"PAGAR"&amp;" "&amp;TEXT($B140," #.##0,00"),0)))</f>
        <v>0</v>
      </c>
      <c r="O140" s="111">
        <f>+IF(O$2=$E140,$D140,IF(O$2&gt;O$257,0,IF($C140=O$2,"PAGAR"&amp;" "&amp;TEXT($B140," #.##0,00"),0)))</f>
        <v>0</v>
      </c>
      <c r="P140" s="111">
        <f>+IF(P$2=$E140,$D140,IF(P$2&gt;P$257,0,IF($C140=P$2,"PAGAR"&amp;" "&amp;TEXT($B140," #.##0,00"),0)))</f>
        <v>0</v>
      </c>
      <c r="Q140" s="111">
        <f>+IF(Q$2=$E140,$D140,IF(Q$2&gt;Q$257,0,IF($C140=Q$2,"PAGAR"&amp;" "&amp;TEXT($B140," #.##0,00"),0)))</f>
        <v>0</v>
      </c>
      <c r="R140" s="111">
        <f>+IF(R$2=$E140,$D140,IF(R$2&gt;R$257,0,IF($C140=R$2,"PAGAR"&amp;" "&amp;TEXT($B140," #.##0,00"),0)))</f>
        <v>0</v>
      </c>
      <c r="S140" s="111">
        <f>+IF(S$2=$E140,$D140,IF(S$2&gt;S$257,0,IF($C140=S$2,"PAGAR"&amp;" "&amp;TEXT($B140," #.##0,00"),0)))</f>
        <v>0</v>
      </c>
      <c r="T140" s="111">
        <f>+IF(T$2=$E140,$D140,IF(T$2&gt;T$257,0,IF($C140=T$2,"PAGAR"&amp;" "&amp;TEXT($B140," #.##0,00"),0)))</f>
        <v>0</v>
      </c>
      <c r="U140" s="111">
        <f>+IF(U$2=$E140,$D140,IF(U$2&gt;U$257,0,IF($C140=U$2,"PAGAR"&amp;" "&amp;TEXT($B140," #.##0,00"),0)))</f>
        <v>0</v>
      </c>
      <c r="V140" s="111">
        <f>+IF(V$2=$E140,$D140,IF(V$2&gt;V$257,0,IF($C140=V$2,"PAGAR"&amp;" "&amp;TEXT($B140," #.##0,00"),0)))</f>
        <v>0</v>
      </c>
      <c r="W140" s="111">
        <f>+IF(W$2=$E140,$D140,IF(W$2&gt;W$257,0,IF($C140=W$2,"PAGAR"&amp;" "&amp;TEXT($B140," #.##0,00"),0)))</f>
        <v>0</v>
      </c>
      <c r="X140" s="111">
        <f>+IF(X$2=$E140,$D140,IF(X$2&gt;X$257,0,IF($C140=X$2,"PAGAR"&amp;" "&amp;TEXT($B140," #.##0,00"),0)))</f>
        <v>0</v>
      </c>
      <c r="Y140" s="111">
        <f>+IF(Y$2=$E140,$D140,IF(Y$2&gt;Y$257,0,IF($C140=Y$2,"PAGAR"&amp;" "&amp;TEXT($B140," #.##0,00"),0)))</f>
        <v>0</v>
      </c>
      <c r="Z140" s="111">
        <f>+IF(Z$2=$E140,$D140,IF(Z$2&gt;Z$257,0,IF($C140=Z$2,"PAGAR"&amp;" "&amp;TEXT($B140," #.##0,00"),0)))</f>
        <v>0</v>
      </c>
      <c r="AA140" s="111">
        <f>+IF(AA$2=$E140,$D140,IF(AA$2&gt;AA$257,0,IF($C140=AA$2,"PAGAR"&amp;" "&amp;TEXT($B140," #.##0,00"),0)))</f>
        <v>0</v>
      </c>
      <c r="AB140" s="111">
        <f>+IF(AB$2=$E140,$D140,IF(AB$2&gt;AB$257,0,IF($C140=AB$2,"PAGAR"&amp;" "&amp;TEXT($B140," #.##0,00"),0)))</f>
        <v>0</v>
      </c>
      <c r="AC140" s="111">
        <f>+IF(AC$2=$E140,$D140,IF(AC$2&gt;AC$257,0,IF($C140=AC$2,"PAGAR"&amp;" "&amp;TEXT($B140," #.##0,00"),0)))</f>
        <v>0</v>
      </c>
      <c r="AD140" s="111">
        <f>+IF(AD$2=$E140,$D140,IF(AD$2&gt;AD$257,0,IF($C140=AD$2,"PAGAR"&amp;" "&amp;TEXT($B140," #.##0,00"),0)))</f>
        <v>0</v>
      </c>
      <c r="AE140" s="111">
        <f>+IF(AE$2=$E140,$D140,IF(AE$2&gt;AE$257,0,IF($C140=AE$2,"PAGAR"&amp;" "&amp;TEXT($B140," #.##0,00"),0)))</f>
        <v>0</v>
      </c>
      <c r="AF140" s="111">
        <f>+IF(AF$2=$E140,$D140,IF(AF$2&gt;AF$257,0,IF($C140=AF$2,"PAGAR"&amp;" "&amp;TEXT($B140," #.##0,00"),0)))</f>
        <v>0</v>
      </c>
      <c r="AG140" s="111">
        <f>+IF(AG$2=$E140,$D140,IF(AG$2&gt;AG$257,0,IF($C140=AG$2,"PAGAR"&amp;" "&amp;TEXT($B140," #.##0,00"),0)))</f>
        <v>0</v>
      </c>
      <c r="AH140" s="111">
        <f>+IF(AH$2=$E140,$D140,IF(AH$2&gt;AH$257,0,IF($C140=AH$2,"PAGAR"&amp;" "&amp;TEXT($B140," #.##0,00"),0)))</f>
        <v>0</v>
      </c>
      <c r="AI140" s="111">
        <f>+IF(AI$2=$E140,$D140,IF(AI$2&gt;AI$257,0,IF($C140=AI$2,"PAGAR"&amp;" "&amp;TEXT($B140," #.##0,00"),0)))</f>
        <v>0</v>
      </c>
      <c r="AJ140" s="111">
        <f>+IF(AJ$2=$E140,$D140,IF(AJ$2&gt;AJ$257,0,IF($C140=AJ$2,"PAGAR"&amp;" "&amp;TEXT($B140," #.##0,00"),0)))</f>
        <v>0</v>
      </c>
      <c r="AK140" s="111">
        <f>+IF(AK$2=$E140,$D140,IF(AK$2&gt;AK$257,0,IF($C140=AK$2,"PAGAR"&amp;" "&amp;TEXT($B140," #.##0,00"),0)))</f>
        <v>0</v>
      </c>
      <c r="AL140" s="111">
        <f>+IF(AL$2=$E140,$D140,IF(AL$2&gt;AL$257,0,IF($C140=AL$2,"PAGAR"&amp;" "&amp;TEXT($B140," #.##0,00"),0)))</f>
        <v>0</v>
      </c>
      <c r="AM140" s="111">
        <f>+IF(AM$2=$E140,$D140,IF(AM$2&gt;AM$257,0,IF($C140=AM$2,"PAGAR"&amp;" "&amp;TEXT($B140," #.##0,00"),0)))</f>
        <v>0</v>
      </c>
      <c r="AN140" s="111">
        <f t="shared" ref="AN140:AN152" ca="1" si="34">+IF(F140&lt;0,-F140,0)</f>
        <v>0</v>
      </c>
      <c r="AO140" s="287">
        <f t="shared" ref="AO140:AO152" si="35">+IF(AND(C140=0,B140&gt;0),B140,0)</f>
        <v>0</v>
      </c>
    </row>
    <row r="141" spans="1:41" x14ac:dyDescent="0.25">
      <c r="A141" s="212" t="s">
        <v>181</v>
      </c>
      <c r="B141" s="90">
        <v>8042.83</v>
      </c>
      <c r="C141" s="91">
        <v>9</v>
      </c>
      <c r="D141" s="97"/>
      <c r="E141" s="166"/>
      <c r="F141" s="84">
        <f ca="1">+IF(TODAY()&lt;DATEVALUE(1&amp;D$1&amp;E$1),0,IF(C141&gt;0,IF(C141-SUM(I$255:AM$255)&lt;0,B141-SUM(I141:AM141,0),0),0))+IF(C141=-1,B141-SUM(J141:AM141))</f>
        <v>8042.83</v>
      </c>
      <c r="G141" s="4">
        <f t="shared" si="33"/>
        <v>0</v>
      </c>
      <c r="H141" s="14"/>
      <c r="I141" s="111">
        <f>IF(I$2=$E141,$D141,IF(I$2&gt;I$257,0,IF($C141=I$2,"PAGAR"&amp;" "&amp;TEXT($B141," #.##0,00"),IF($C141=-1,"PAGAR"&amp;" "&amp;TEXT($B141," #.##0,00"),0))))</f>
        <v>0</v>
      </c>
      <c r="J141" s="111">
        <f>+IF(J$2=$E141,$D141,IF(J$2&gt;J$257,0,IF($C141=J$2,"PAGAR"&amp;" "&amp;TEXT($B141," #.##0,00"),0)))</f>
        <v>0</v>
      </c>
      <c r="K141" s="111">
        <f>+IF(K$2=$E141,$D141,IF(K$2&gt;K$257,0,IF($C141=K$2,"PAGAR"&amp;" "&amp;TEXT($B141," #.##0,00"),0)))</f>
        <v>0</v>
      </c>
      <c r="L141" s="111">
        <f>+IF(L$2=$E141,$D141,IF(L$2&gt;L$257,0,IF($C141=L$2,"PAGAR"&amp;" "&amp;TEXT($B141," #.##0,00"),0)))</f>
        <v>0</v>
      </c>
      <c r="M141" s="111">
        <f>+IF(M$2=$E141,$D141,IF(M$2&gt;M$257,0,IF($C141=M$2,"PAGAR"&amp;" "&amp;TEXT($B141," #.##0,00"),0)))</f>
        <v>0</v>
      </c>
      <c r="N141" s="111">
        <f>+IF(N$2=$E141,$D141,IF(N$2&gt;N$257,0,IF($C141=N$2,"PAGAR"&amp;" "&amp;TEXT($B141," #.##0,00"),0)))</f>
        <v>0</v>
      </c>
      <c r="O141" s="111">
        <f>+IF(O$2=$E141,$D141,IF(O$2&gt;O$257,0,IF($C141=O$2,"PAGAR"&amp;" "&amp;TEXT($B141," #.##0,00"),0)))</f>
        <v>0</v>
      </c>
      <c r="P141" s="111">
        <f>+IF(P$2=$E141,$D141,IF(P$2&gt;P$257,0,IF($C141=P$2,"PAGAR"&amp;" "&amp;TEXT($B141," #.##0,00"),0)))</f>
        <v>0</v>
      </c>
      <c r="Q141" s="111" t="str">
        <f>+IF(Q$2=$E141,$D141,IF(Q$2&gt;Q$257,0,IF($C141=Q$2,"PAGAR"&amp;" "&amp;TEXT($B141," #.##0,00"),0)))</f>
        <v>PAGAR  8.042,83</v>
      </c>
      <c r="R141" s="111">
        <f>+IF(R$2=$E141,$D141,IF(R$2&gt;R$257,0,IF($C141=R$2,"PAGAR"&amp;" "&amp;TEXT($B141," #.##0,00"),0)))</f>
        <v>0</v>
      </c>
      <c r="S141" s="111">
        <f>+IF(S$2=$E141,$D141,IF(S$2&gt;S$257,0,IF($C141=S$2,"PAGAR"&amp;" "&amp;TEXT($B141," #.##0,00"),0)))</f>
        <v>0</v>
      </c>
      <c r="T141" s="111">
        <f>+IF(T$2=$E141,$D141,IF(T$2&gt;T$257,0,IF($C141=T$2,"PAGAR"&amp;" "&amp;TEXT($B141," #.##0,00"),0)))</f>
        <v>0</v>
      </c>
      <c r="U141" s="111">
        <f>+IF(U$2=$E141,$D141,IF(U$2&gt;U$257,0,IF($C141=U$2,"PAGAR"&amp;" "&amp;TEXT($B141," #.##0,00"),0)))</f>
        <v>0</v>
      </c>
      <c r="V141" s="111">
        <f>+IF(V$2=$E141,$D141,IF(V$2&gt;V$257,0,IF($C141=V$2,"PAGAR"&amp;" "&amp;TEXT($B141," #.##0,00"),0)))</f>
        <v>0</v>
      </c>
      <c r="W141" s="111">
        <f>+IF(W$2=$E141,$D141,IF(W$2&gt;W$257,0,IF($C141=W$2,"PAGAR"&amp;" "&amp;TEXT($B141," #.##0,00"),0)))</f>
        <v>0</v>
      </c>
      <c r="X141" s="111">
        <f>+IF(X$2=$E141,$D141,IF(X$2&gt;X$257,0,IF($C141=X$2,"PAGAR"&amp;" "&amp;TEXT($B141," #.##0,00"),0)))</f>
        <v>0</v>
      </c>
      <c r="Y141" s="111">
        <f>+IF(Y$2=$E141,$D141,IF(Y$2&gt;Y$257,0,IF($C141=Y$2,"PAGAR"&amp;" "&amp;TEXT($B141," #.##0,00"),0)))</f>
        <v>0</v>
      </c>
      <c r="Z141" s="111">
        <f>+IF(Z$2=$E141,$D141,IF(Z$2&gt;Z$257,0,IF($C141=Z$2,"PAGAR"&amp;" "&amp;TEXT($B141," #.##0,00"),0)))</f>
        <v>0</v>
      </c>
      <c r="AA141" s="111">
        <f>+IF(AA$2=$E141,$D141,IF(AA$2&gt;AA$257,0,IF($C141=AA$2,"PAGAR"&amp;" "&amp;TEXT($B141," #.##0,00"),0)))</f>
        <v>0</v>
      </c>
      <c r="AB141" s="111">
        <f>+IF(AB$2=$E141,$D141,IF(AB$2&gt;AB$257,0,IF($C141=AB$2,"PAGAR"&amp;" "&amp;TEXT($B141," #.##0,00"),0)))</f>
        <v>0</v>
      </c>
      <c r="AC141" s="111">
        <f>+IF(AC$2=$E141,$D141,IF(AC$2&gt;AC$257,0,IF($C141=AC$2,"PAGAR"&amp;" "&amp;TEXT($B141," #.##0,00"),0)))</f>
        <v>0</v>
      </c>
      <c r="AD141" s="111">
        <f>+IF(AD$2=$E141,$D141,IF(AD$2&gt;AD$257,0,IF($C141=AD$2,"PAGAR"&amp;" "&amp;TEXT($B141," #.##0,00"),0)))</f>
        <v>0</v>
      </c>
      <c r="AE141" s="111">
        <f>+IF(AE$2=$E141,$D141,IF(AE$2&gt;AE$257,0,IF($C141=AE$2,"PAGAR"&amp;" "&amp;TEXT($B141," #.##0,00"),0)))</f>
        <v>0</v>
      </c>
      <c r="AF141" s="111">
        <f>+IF(AF$2=$E141,$D141,IF(AF$2&gt;AF$257,0,IF($C141=AF$2,"PAGAR"&amp;" "&amp;TEXT($B141," #.##0,00"),0)))</f>
        <v>0</v>
      </c>
      <c r="AG141" s="111">
        <f>+IF(AG$2=$E141,$D141,IF(AG$2&gt;AG$257,0,IF($C141=AG$2,"PAGAR"&amp;" "&amp;TEXT($B141," #.##0,00"),0)))</f>
        <v>0</v>
      </c>
      <c r="AH141" s="111">
        <f>+IF(AH$2=$E141,$D141,IF(AH$2&gt;AH$257,0,IF($C141=AH$2,"PAGAR"&amp;" "&amp;TEXT($B141," #.##0,00"),0)))</f>
        <v>0</v>
      </c>
      <c r="AI141" s="111">
        <f>+IF(AI$2=$E141,$D141,IF(AI$2&gt;AI$257,0,IF($C141=AI$2,"PAGAR"&amp;" "&amp;TEXT($B141," #.##0,00"),0)))</f>
        <v>0</v>
      </c>
      <c r="AJ141" s="111">
        <f>+IF(AJ$2=$E141,$D141,IF(AJ$2&gt;AJ$257,0,IF($C141=AJ$2,"PAGAR"&amp;" "&amp;TEXT($B141," #.##0,00"),0)))</f>
        <v>0</v>
      </c>
      <c r="AK141" s="111">
        <f>+IF(AK$2=$E141,$D141,IF(AK$2&gt;AK$257,0,IF($C141=AK$2,"PAGAR"&amp;" "&amp;TEXT($B141," #.##0,00"),0)))</f>
        <v>0</v>
      </c>
      <c r="AL141" s="111">
        <f>+IF(AL$2=$E141,$D141,IF(AL$2&gt;AL$257,0,IF($C141=AL$2,"PAGAR"&amp;" "&amp;TEXT($B141," #.##0,00"),0)))</f>
        <v>0</v>
      </c>
      <c r="AM141" s="111">
        <f>+IF(AM$2=$E141,$D141,IF(AM$2&gt;AM$257,0,IF($C141=AM$2,"PAGAR"&amp;" "&amp;TEXT($B141," #.##0,00"),0)))</f>
        <v>0</v>
      </c>
      <c r="AN141" s="111">
        <f t="shared" ca="1" si="34"/>
        <v>0</v>
      </c>
      <c r="AO141" s="287">
        <f t="shared" si="35"/>
        <v>0</v>
      </c>
    </row>
    <row r="142" spans="1:41" x14ac:dyDescent="0.25">
      <c r="A142" s="212" t="s">
        <v>175</v>
      </c>
      <c r="B142" s="90">
        <v>4377.08</v>
      </c>
      <c r="C142" s="91">
        <v>15</v>
      </c>
      <c r="D142" s="97"/>
      <c r="E142" s="166"/>
      <c r="F142" s="84">
        <f ca="1">+IF(TODAY()&lt;DATEVALUE(1&amp;D$1&amp;E$1),0,IF(C142&gt;0,IF(C142-SUM(I$255:AM$255)&lt;0,B142-SUM(I142:AM142,0),0),0))+IF(C142=-1,B142-SUM(J142:AM142))</f>
        <v>0</v>
      </c>
      <c r="G142" s="4">
        <f t="shared" si="33"/>
        <v>0</v>
      </c>
      <c r="H142" s="14"/>
      <c r="I142" s="111">
        <f>IF(I$2=$E142,$D142,IF(I$2&gt;I$257,0,IF($C142=I$2,"PAGAR"&amp;" "&amp;TEXT($B142," #.##0,00"),IF($C142=-1,"PAGAR"&amp;" "&amp;TEXT($B142," #.##0,00"),0))))</f>
        <v>0</v>
      </c>
      <c r="J142" s="111">
        <f>+IF(J$2=$E142,$D142,IF(J$2&gt;J$257,0,IF($C142=J$2,"PAGAR"&amp;" "&amp;TEXT($B142," #.##0,00"),0)))</f>
        <v>0</v>
      </c>
      <c r="K142" s="111">
        <f>+IF(K$2=$E142,$D142,IF(K$2&gt;K$257,0,IF($C142=K$2,"PAGAR"&amp;" "&amp;TEXT($B142," #.##0,00"),0)))</f>
        <v>0</v>
      </c>
      <c r="L142" s="111">
        <f>+IF(L$2=$E142,$D142,IF(L$2&gt;L$257,0,IF($C142=L$2,"PAGAR"&amp;" "&amp;TEXT($B142," #.##0,00"),0)))</f>
        <v>0</v>
      </c>
      <c r="M142" s="111">
        <f>+IF(M$2=$E142,$D142,IF(M$2&gt;M$257,0,IF($C142=M$2,"PAGAR"&amp;" "&amp;TEXT($B142," #.##0,00"),0)))</f>
        <v>0</v>
      </c>
      <c r="N142" s="111">
        <f>+IF(N$2=$E142,$D142,IF(N$2&gt;N$257,0,IF($C142=N$2,"PAGAR"&amp;" "&amp;TEXT($B142," #.##0,00"),0)))</f>
        <v>0</v>
      </c>
      <c r="O142" s="111">
        <f>+IF(O$2=$E142,$D142,IF(O$2&gt;O$257,0,IF($C142=O$2,"PAGAR"&amp;" "&amp;TEXT($B142," #.##0,00"),0)))</f>
        <v>0</v>
      </c>
      <c r="P142" s="111">
        <f>+IF(P$2=$E142,$D142,IF(P$2&gt;P$257,0,IF($C142=P$2,"PAGAR"&amp;" "&amp;TEXT($B142," #.##0,00"),0)))</f>
        <v>0</v>
      </c>
      <c r="Q142" s="111">
        <f>+IF(Q$2=$E142,$D142,IF(Q$2&gt;Q$257,0,IF($C142=Q$2,"PAGAR"&amp;" "&amp;TEXT($B142," #.##0,00"),0)))</f>
        <v>0</v>
      </c>
      <c r="R142" s="111">
        <f>+IF(R$2=$E142,$D142,IF(R$2&gt;R$257,0,IF($C142=R$2,"PAGAR"&amp;" "&amp;TEXT($B142," #.##0,00"),0)))</f>
        <v>0</v>
      </c>
      <c r="S142" s="111">
        <f>+IF(S$2=$E142,$D142,IF(S$2&gt;S$257,0,IF($C142=S$2,"PAGAR"&amp;" "&amp;TEXT($B142," #.##0,00"),0)))</f>
        <v>0</v>
      </c>
      <c r="T142" s="111">
        <f>+IF(T$2=$E142,$D142,IF(T$2&gt;T$257,0,IF($C142=T$2,"PAGAR"&amp;" "&amp;TEXT($B142," #.##0,00"),0)))</f>
        <v>0</v>
      </c>
      <c r="U142" s="111">
        <f>+IF(U$2=$E142,$D142,IF(U$2&gt;U$257,0,IF($C142=U$2,"PAGAR"&amp;" "&amp;TEXT($B142," #.##0,00"),0)))</f>
        <v>0</v>
      </c>
      <c r="V142" s="111">
        <f>+IF(V$2=$E142,$D142,IF(V$2&gt;V$257,0,IF($C142=V$2,"PAGAR"&amp;" "&amp;TEXT($B142," #.##0,00"),0)))</f>
        <v>0</v>
      </c>
      <c r="W142" s="111" t="str">
        <f>+IF(W$2=$E142,$D142,IF(W$2&gt;W$257,0,IF($C142=W$2,"PAGAR"&amp;" "&amp;TEXT($B142," #.##0,00"),0)))</f>
        <v>PAGAR  4.377,08</v>
      </c>
      <c r="X142" s="111">
        <f>+IF(X$2=$E142,$D142,IF(X$2&gt;X$257,0,IF($C142=X$2,"PAGAR"&amp;" "&amp;TEXT($B142," #.##0,00"),0)))</f>
        <v>0</v>
      </c>
      <c r="Y142" s="111">
        <f>+IF(Y$2=$E142,$D142,IF(Y$2&gt;Y$257,0,IF($C142=Y$2,"PAGAR"&amp;" "&amp;TEXT($B142," #.##0,00"),0)))</f>
        <v>0</v>
      </c>
      <c r="Z142" s="111">
        <f>+IF(Z$2=$E142,$D142,IF(Z$2&gt;Z$257,0,IF($C142=Z$2,"PAGAR"&amp;" "&amp;TEXT($B142," #.##0,00"),0)))</f>
        <v>0</v>
      </c>
      <c r="AA142" s="111">
        <f>+IF(AA$2=$E142,$D142,IF(AA$2&gt;AA$257,0,IF($C142=AA$2,"PAGAR"&amp;" "&amp;TEXT($B142," #.##0,00"),0)))</f>
        <v>0</v>
      </c>
      <c r="AB142" s="111">
        <f>+IF(AB$2=$E142,$D142,IF(AB$2&gt;AB$257,0,IF($C142=AB$2,"PAGAR"&amp;" "&amp;TEXT($B142," #.##0,00"),0)))</f>
        <v>0</v>
      </c>
      <c r="AC142" s="111">
        <f>+IF(AC$2=$E142,$D142,IF(AC$2&gt;AC$257,0,IF($C142=AC$2,"PAGAR"&amp;" "&amp;TEXT($B142," #.##0,00"),0)))</f>
        <v>0</v>
      </c>
      <c r="AD142" s="111">
        <f>+IF(AD$2=$E142,$D142,IF(AD$2&gt;AD$257,0,IF($C142=AD$2,"PAGAR"&amp;" "&amp;TEXT($B142," #.##0,00"),0)))</f>
        <v>0</v>
      </c>
      <c r="AE142" s="111">
        <f>+IF(AE$2=$E142,$D142,IF(AE$2&gt;AE$257,0,IF($C142=AE$2,"PAGAR"&amp;" "&amp;TEXT($B142," #.##0,00"),0)))</f>
        <v>0</v>
      </c>
      <c r="AF142" s="111">
        <f>+IF(AF$2=$E142,$D142,IF(AF$2&gt;AF$257,0,IF($C142=AF$2,"PAGAR"&amp;" "&amp;TEXT($B142," #.##0,00"),0)))</f>
        <v>0</v>
      </c>
      <c r="AG142" s="111">
        <f>+IF(AG$2=$E142,$D142,IF(AG$2&gt;AG$257,0,IF($C142=AG$2,"PAGAR"&amp;" "&amp;TEXT($B142," #.##0,00"),0)))</f>
        <v>0</v>
      </c>
      <c r="AH142" s="111">
        <f>+IF(AH$2=$E142,$D142,IF(AH$2&gt;AH$257,0,IF($C142=AH$2,"PAGAR"&amp;" "&amp;TEXT($B142," #.##0,00"),0)))</f>
        <v>0</v>
      </c>
      <c r="AI142" s="111">
        <f>+IF(AI$2=$E142,$D142,IF(AI$2&gt;AI$257,0,IF($C142=AI$2,"PAGAR"&amp;" "&amp;TEXT($B142," #.##0,00"),0)))</f>
        <v>0</v>
      </c>
      <c r="AJ142" s="111">
        <f>+IF(AJ$2=$E142,$D142,IF(AJ$2&gt;AJ$257,0,IF($C142=AJ$2,"PAGAR"&amp;" "&amp;TEXT($B142," #.##0,00"),0)))</f>
        <v>0</v>
      </c>
      <c r="AK142" s="111">
        <f>+IF(AK$2=$E142,$D142,IF(AK$2&gt;AK$257,0,IF($C142=AK$2,"PAGAR"&amp;" "&amp;TEXT($B142," #.##0,00"),0)))</f>
        <v>0</v>
      </c>
      <c r="AL142" s="111">
        <f>+IF(AL$2=$E142,$D142,IF(AL$2&gt;AL$257,0,IF($C142=AL$2,"PAGAR"&amp;" "&amp;TEXT($B142," #.##0,00"),0)))</f>
        <v>0</v>
      </c>
      <c r="AM142" s="111">
        <f>+IF(AM$2=$E142,$D142,IF(AM$2&gt;AM$257,0,IF($C142=AM$2,"PAGAR"&amp;" "&amp;TEXT($B142," #.##0,00"),0)))</f>
        <v>0</v>
      </c>
      <c r="AN142" s="111">
        <f t="shared" ca="1" si="34"/>
        <v>0</v>
      </c>
      <c r="AO142" s="287">
        <f t="shared" si="35"/>
        <v>0</v>
      </c>
    </row>
    <row r="143" spans="1:41" x14ac:dyDescent="0.25">
      <c r="A143" s="212" t="s">
        <v>175</v>
      </c>
      <c r="B143" s="90">
        <v>4377.08</v>
      </c>
      <c r="C143" s="91">
        <v>23</v>
      </c>
      <c r="D143" s="97"/>
      <c r="E143" s="166"/>
      <c r="F143" s="84">
        <f ca="1">+IF(TODAY()&lt;DATEVALUE(1&amp;D$1&amp;E$1),0,IF(C143&gt;0,IF(C143-SUM(I$255:AM$255)&lt;0,B143-SUM(I143:AM143,0),0),0))+IF(C143=-1,B143-SUM(J143:AM143))</f>
        <v>0</v>
      </c>
      <c r="G143" s="4">
        <f t="shared" si="33"/>
        <v>0</v>
      </c>
      <c r="H143" s="14"/>
      <c r="I143" s="111">
        <f>IF(I$2=$E143,$D143,IF(I$2&gt;I$257,0,IF($C143=I$2,"PAGAR"&amp;" "&amp;TEXT($B143," #.##0,00"),IF($C143=-1,"PAGAR"&amp;" "&amp;TEXT($B143," #.##0,00"),0))))</f>
        <v>0</v>
      </c>
      <c r="J143" s="111">
        <f>+IF(J$2=$E143,$D143,IF(J$2&gt;J$257,0,IF($C143=J$2,"PAGAR"&amp;" "&amp;TEXT($B143," #.##0,00"),0)))</f>
        <v>0</v>
      </c>
      <c r="K143" s="111">
        <f>+IF(K$2=$E143,$D143,IF(K$2&gt;K$257,0,IF($C143=K$2,"PAGAR"&amp;" "&amp;TEXT($B143," #.##0,00"),0)))</f>
        <v>0</v>
      </c>
      <c r="L143" s="111">
        <f>+IF(L$2=$E143,$D143,IF(L$2&gt;L$257,0,IF($C143=L$2,"PAGAR"&amp;" "&amp;TEXT($B143," #.##0,00"),0)))</f>
        <v>0</v>
      </c>
      <c r="M143" s="111">
        <f>+IF(M$2=$E143,$D143,IF(M$2&gt;M$257,0,IF($C143=M$2,"PAGAR"&amp;" "&amp;TEXT($B143," #.##0,00"),0)))</f>
        <v>0</v>
      </c>
      <c r="N143" s="111">
        <f>+IF(N$2=$E143,$D143,IF(N$2&gt;N$257,0,IF($C143=N$2,"PAGAR"&amp;" "&amp;TEXT($B143," #.##0,00"),0)))</f>
        <v>0</v>
      </c>
      <c r="O143" s="111">
        <f>+IF(O$2=$E143,$D143,IF(O$2&gt;O$257,0,IF($C143=O$2,"PAGAR"&amp;" "&amp;TEXT($B143," #.##0,00"),0)))</f>
        <v>0</v>
      </c>
      <c r="P143" s="111">
        <f>+IF(P$2=$E143,$D143,IF(P$2&gt;P$257,0,IF($C143=P$2,"PAGAR"&amp;" "&amp;TEXT($B143," #.##0,00"),0)))</f>
        <v>0</v>
      </c>
      <c r="Q143" s="111">
        <f>+IF(Q$2=$E143,$D143,IF(Q$2&gt;Q$257,0,IF($C143=Q$2,"PAGAR"&amp;" "&amp;TEXT($B143," #.##0,00"),0)))</f>
        <v>0</v>
      </c>
      <c r="R143" s="111">
        <f>+IF(R$2=$E143,$D143,IF(R$2&gt;R$257,0,IF($C143=R$2,"PAGAR"&amp;" "&amp;TEXT($B143," #.##0,00"),0)))</f>
        <v>0</v>
      </c>
      <c r="S143" s="111">
        <f>+IF(S$2=$E143,$D143,IF(S$2&gt;S$257,0,IF($C143=S$2,"PAGAR"&amp;" "&amp;TEXT($B143," #.##0,00"),0)))</f>
        <v>0</v>
      </c>
      <c r="T143" s="111">
        <f>+IF(T$2=$E143,$D143,IF(T$2&gt;T$257,0,IF($C143=T$2,"PAGAR"&amp;" "&amp;TEXT($B143," #.##0,00"),0)))</f>
        <v>0</v>
      </c>
      <c r="U143" s="111">
        <f>+IF(U$2=$E143,$D143,IF(U$2&gt;U$257,0,IF($C143=U$2,"PAGAR"&amp;" "&amp;TEXT($B143," #.##0,00"),0)))</f>
        <v>0</v>
      </c>
      <c r="V143" s="111">
        <f>+IF(V$2=$E143,$D143,IF(V$2&gt;V$257,0,IF($C143=V$2,"PAGAR"&amp;" "&amp;TEXT($B143," #.##0,00"),0)))</f>
        <v>0</v>
      </c>
      <c r="W143" s="111">
        <f>+IF(W$2=$E143,$D143,IF(W$2&gt;W$257,0,IF($C143=W$2,"PAGAR"&amp;" "&amp;TEXT($B143," #.##0,00"),0)))</f>
        <v>0</v>
      </c>
      <c r="X143" s="111">
        <f>+IF(X$2=$E143,$D143,IF(X$2&gt;X$257,0,IF($C143=X$2,"PAGAR"&amp;" "&amp;TEXT($B143," #.##0,00"),0)))</f>
        <v>0</v>
      </c>
      <c r="Y143" s="111">
        <f>+IF(Y$2=$E143,$D143,IF(Y$2&gt;Y$257,0,IF($C143=Y$2,"PAGAR"&amp;" "&amp;TEXT($B143," #.##0,00"),0)))</f>
        <v>0</v>
      </c>
      <c r="Z143" s="111">
        <f>+IF(Z$2=$E143,$D143,IF(Z$2&gt;Z$257,0,IF($C143=Z$2,"PAGAR"&amp;" "&amp;TEXT($B143," #.##0,00"),0)))</f>
        <v>0</v>
      </c>
      <c r="AA143" s="111">
        <f>+IF(AA$2=$E143,$D143,IF(AA$2&gt;AA$257,0,IF($C143=AA$2,"PAGAR"&amp;" "&amp;TEXT($B143," #.##0,00"),0)))</f>
        <v>0</v>
      </c>
      <c r="AB143" s="111">
        <f>+IF(AB$2=$E143,$D143,IF(AB$2&gt;AB$257,0,IF($C143=AB$2,"PAGAR"&amp;" "&amp;TEXT($B143," #.##0,00"),0)))</f>
        <v>0</v>
      </c>
      <c r="AC143" s="111">
        <f>+IF(AC$2=$E143,$D143,IF(AC$2&gt;AC$257,0,IF($C143=AC$2,"PAGAR"&amp;" "&amp;TEXT($B143," #.##0,00"),0)))</f>
        <v>0</v>
      </c>
      <c r="AD143" s="111">
        <f>+IF(AD$2=$E143,$D143,IF(AD$2&gt;AD$257,0,IF($C143=AD$2,"PAGAR"&amp;" "&amp;TEXT($B143," #.##0,00"),0)))</f>
        <v>0</v>
      </c>
      <c r="AE143" s="111" t="str">
        <f>+IF(AE$2=$E143,$D143,IF(AE$2&gt;AE$257,0,IF($C143=AE$2,"PAGAR"&amp;" "&amp;TEXT($B143," #.##0,00"),0)))</f>
        <v>PAGAR  4.377,08</v>
      </c>
      <c r="AF143" s="111">
        <f>+IF(AF$2=$E143,$D143,IF(AF$2&gt;AF$257,0,IF($C143=AF$2,"PAGAR"&amp;" "&amp;TEXT($B143," #.##0,00"),0)))</f>
        <v>0</v>
      </c>
      <c r="AG143" s="111">
        <f>+IF(AG$2=$E143,$D143,IF(AG$2&gt;AG$257,0,IF($C143=AG$2,"PAGAR"&amp;" "&amp;TEXT($B143," #.##0,00"),0)))</f>
        <v>0</v>
      </c>
      <c r="AH143" s="111">
        <f>+IF(AH$2=$E143,$D143,IF(AH$2&gt;AH$257,0,IF($C143=AH$2,"PAGAR"&amp;" "&amp;TEXT($B143," #.##0,00"),0)))</f>
        <v>0</v>
      </c>
      <c r="AI143" s="111">
        <f>+IF(AI$2=$E143,$D143,IF(AI$2&gt;AI$257,0,IF($C143=AI$2,"PAGAR"&amp;" "&amp;TEXT($B143," #.##0,00"),0)))</f>
        <v>0</v>
      </c>
      <c r="AJ143" s="111">
        <f>+IF(AJ$2=$E143,$D143,IF(AJ$2&gt;AJ$257,0,IF($C143=AJ$2,"PAGAR"&amp;" "&amp;TEXT($B143," #.##0,00"),0)))</f>
        <v>0</v>
      </c>
      <c r="AK143" s="111">
        <f>+IF(AK$2=$E143,$D143,IF(AK$2&gt;AK$257,0,IF($C143=AK$2,"PAGAR"&amp;" "&amp;TEXT($B143," #.##0,00"),0)))</f>
        <v>0</v>
      </c>
      <c r="AL143" s="111">
        <f>+IF(AL$2=$E143,$D143,IF(AL$2&gt;AL$257,0,IF($C143=AL$2,"PAGAR"&amp;" "&amp;TEXT($B143," #.##0,00"),0)))</f>
        <v>0</v>
      </c>
      <c r="AM143" s="111">
        <f>+IF(AM$2=$E143,$D143,IF(AM$2&gt;AM$257,0,IF($C143=AM$2,"PAGAR"&amp;" "&amp;TEXT($B143," #.##0,00"),0)))</f>
        <v>0</v>
      </c>
      <c r="AN143" s="111">
        <f t="shared" ca="1" si="34"/>
        <v>0</v>
      </c>
      <c r="AO143" s="287">
        <f t="shared" si="35"/>
        <v>0</v>
      </c>
    </row>
    <row r="144" spans="1:41" x14ac:dyDescent="0.25">
      <c r="A144" s="212" t="s">
        <v>176</v>
      </c>
      <c r="B144" s="90">
        <v>12000</v>
      </c>
      <c r="C144" s="91">
        <v>6</v>
      </c>
      <c r="D144" s="97"/>
      <c r="E144" s="166"/>
      <c r="F144" s="84">
        <f ca="1">+IF(TODAY()&lt;DATEVALUE(1&amp;D$1&amp;E$1),0,IF(C144&gt;0,IF(C144-SUM(I$255:AM$255)&lt;0,B144-SUM(I144:AM144,0),0),0))+IF(C144=-1,B144-SUM(J144:AM144))</f>
        <v>12000</v>
      </c>
      <c r="G144" s="4">
        <f t="shared" si="33"/>
        <v>0</v>
      </c>
      <c r="H144" s="14"/>
      <c r="I144" s="111">
        <f>IF(I$2=$E144,$D144,IF(I$2&gt;I$257,0,IF($C144=I$2,"PAGAR"&amp;" "&amp;TEXT($B144," #.##0,00"),IF($C144=-1,"PAGAR"&amp;" "&amp;TEXT($B144," #.##0,00"),0))))</f>
        <v>0</v>
      </c>
      <c r="J144" s="111">
        <f>+IF(J$2=$E144,$D144,IF(J$2&gt;J$257,0,IF($C144=J$2,"PAGAR"&amp;" "&amp;TEXT($B144," #.##0,00"),0)))</f>
        <v>0</v>
      </c>
      <c r="K144" s="111">
        <f>+IF(K$2=$E144,$D144,IF(K$2&gt;K$257,0,IF($C144=K$2,"PAGAR"&amp;" "&amp;TEXT($B144," #.##0,00"),0)))</f>
        <v>0</v>
      </c>
      <c r="L144" s="111">
        <f>+IF(L$2=$E144,$D144,IF(L$2&gt;L$257,0,IF($C144=L$2,"PAGAR"&amp;" "&amp;TEXT($B144," #.##0,00"),0)))</f>
        <v>0</v>
      </c>
      <c r="M144" s="111">
        <f>+IF(M$2=$E144,$D144,IF(M$2&gt;M$257,0,IF($C144=M$2,"PAGAR"&amp;" "&amp;TEXT($B144," #.##0,00"),0)))</f>
        <v>0</v>
      </c>
      <c r="N144" s="111" t="str">
        <f>+IF(N$2=$E144,$D144,IF(N$2&gt;N$257,0,IF($C144=N$2,"PAGAR"&amp;" "&amp;TEXT($B144," #.##0,00"),0)))</f>
        <v>PAGAR  12.000,00</v>
      </c>
      <c r="O144" s="111">
        <f>+IF(O$2=$E144,$D144,IF(O$2&gt;O$257,0,IF($C144=O$2,"PAGAR"&amp;" "&amp;TEXT($B144," #.##0,00"),0)))</f>
        <v>0</v>
      </c>
      <c r="P144" s="111">
        <f>+IF(P$2=$E144,$D144,IF(P$2&gt;P$257,0,IF($C144=P$2,"PAGAR"&amp;" "&amp;TEXT($B144," #.##0,00"),0)))</f>
        <v>0</v>
      </c>
      <c r="Q144" s="111">
        <f>+IF(Q$2=$E144,$D144,IF(Q$2&gt;Q$257,0,IF($C144=Q$2,"PAGAR"&amp;" "&amp;TEXT($B144," #.##0,00"),0)))</f>
        <v>0</v>
      </c>
      <c r="R144" s="111">
        <f>+IF(R$2=$E144,$D144,IF(R$2&gt;R$257,0,IF($C144=R$2,"PAGAR"&amp;" "&amp;TEXT($B144," #.##0,00"),0)))</f>
        <v>0</v>
      </c>
      <c r="S144" s="111">
        <f>+IF(S$2=$E144,$D144,IF(S$2&gt;S$257,0,IF($C144=S$2,"PAGAR"&amp;" "&amp;TEXT($B144," #.##0,00"),0)))</f>
        <v>0</v>
      </c>
      <c r="T144" s="111">
        <f>+IF(T$2=$E144,$D144,IF(T$2&gt;T$257,0,IF($C144=T$2,"PAGAR"&amp;" "&amp;TEXT($B144," #.##0,00"),0)))</f>
        <v>0</v>
      </c>
      <c r="U144" s="111">
        <f>+IF(U$2=$E144,$D144,IF(U$2&gt;U$257,0,IF($C144=U$2,"PAGAR"&amp;" "&amp;TEXT($B144," #.##0,00"),0)))</f>
        <v>0</v>
      </c>
      <c r="V144" s="111">
        <f>+IF(V$2=$E144,$D144,IF(V$2&gt;V$257,0,IF($C144=V$2,"PAGAR"&amp;" "&amp;TEXT($B144," #.##0,00"),0)))</f>
        <v>0</v>
      </c>
      <c r="W144" s="111">
        <f>+IF(W$2=$E144,$D144,IF(W$2&gt;W$257,0,IF($C144=W$2,"PAGAR"&amp;" "&amp;TEXT($B144," #.##0,00"),0)))</f>
        <v>0</v>
      </c>
      <c r="X144" s="111">
        <f>+IF(X$2=$E144,$D144,IF(X$2&gt;X$257,0,IF($C144=X$2,"PAGAR"&amp;" "&amp;TEXT($B144," #.##0,00"),0)))</f>
        <v>0</v>
      </c>
      <c r="Y144" s="111">
        <f>+IF(Y$2=$E144,$D144,IF(Y$2&gt;Y$257,0,IF($C144=Y$2,"PAGAR"&amp;" "&amp;TEXT($B144," #.##0,00"),0)))</f>
        <v>0</v>
      </c>
      <c r="Z144" s="111">
        <f>+IF(Z$2=$E144,$D144,IF(Z$2&gt;Z$257,0,IF($C144=Z$2,"PAGAR"&amp;" "&amp;TEXT($B144," #.##0,00"),0)))</f>
        <v>0</v>
      </c>
      <c r="AA144" s="111">
        <f>+IF(AA$2=$E144,$D144,IF(AA$2&gt;AA$257,0,IF($C144=AA$2,"PAGAR"&amp;" "&amp;TEXT($B144," #.##0,00"),0)))</f>
        <v>0</v>
      </c>
      <c r="AB144" s="111">
        <f>+IF(AB$2=$E144,$D144,IF(AB$2&gt;AB$257,0,IF($C144=AB$2,"PAGAR"&amp;" "&amp;TEXT($B144," #.##0,00"),0)))</f>
        <v>0</v>
      </c>
      <c r="AC144" s="111">
        <f>+IF(AC$2=$E144,$D144,IF(AC$2&gt;AC$257,0,IF($C144=AC$2,"PAGAR"&amp;" "&amp;TEXT($B144," #.##0,00"),0)))</f>
        <v>0</v>
      </c>
      <c r="AD144" s="111">
        <f>+IF(AD$2=$E144,$D144,IF(AD$2&gt;AD$257,0,IF($C144=AD$2,"PAGAR"&amp;" "&amp;TEXT($B144," #.##0,00"),0)))</f>
        <v>0</v>
      </c>
      <c r="AE144" s="111">
        <f>+IF(AE$2=$E144,$D144,IF(AE$2&gt;AE$257,0,IF($C144=AE$2,"PAGAR"&amp;" "&amp;TEXT($B144," #.##0,00"),0)))</f>
        <v>0</v>
      </c>
      <c r="AF144" s="111">
        <f>+IF(AF$2=$E144,$D144,IF(AF$2&gt;AF$257,0,IF($C144=AF$2,"PAGAR"&amp;" "&amp;TEXT($B144," #.##0,00"),0)))</f>
        <v>0</v>
      </c>
      <c r="AG144" s="111">
        <f>+IF(AG$2=$E144,$D144,IF(AG$2&gt;AG$257,0,IF($C144=AG$2,"PAGAR"&amp;" "&amp;TEXT($B144," #.##0,00"),0)))</f>
        <v>0</v>
      </c>
      <c r="AH144" s="111">
        <f>+IF(AH$2=$E144,$D144,IF(AH$2&gt;AH$257,0,IF($C144=AH$2,"PAGAR"&amp;" "&amp;TEXT($B144," #.##0,00"),0)))</f>
        <v>0</v>
      </c>
      <c r="AI144" s="111">
        <f>+IF(AI$2=$E144,$D144,IF(AI$2&gt;AI$257,0,IF($C144=AI$2,"PAGAR"&amp;" "&amp;TEXT($B144," #.##0,00"),0)))</f>
        <v>0</v>
      </c>
      <c r="AJ144" s="111">
        <f>+IF(AJ$2=$E144,$D144,IF(AJ$2&gt;AJ$257,0,IF($C144=AJ$2,"PAGAR"&amp;" "&amp;TEXT($B144," #.##0,00"),0)))</f>
        <v>0</v>
      </c>
      <c r="AK144" s="111">
        <f>+IF(AK$2=$E144,$D144,IF(AK$2&gt;AK$257,0,IF($C144=AK$2,"PAGAR"&amp;" "&amp;TEXT($B144," #.##0,00"),0)))</f>
        <v>0</v>
      </c>
      <c r="AL144" s="111">
        <f>+IF(AL$2=$E144,$D144,IF(AL$2&gt;AL$257,0,IF($C144=AL$2,"PAGAR"&amp;" "&amp;TEXT($B144," #.##0,00"),0)))</f>
        <v>0</v>
      </c>
      <c r="AM144" s="111">
        <f>+IF(AM$2=$E144,$D144,IF(AM$2&gt;AM$257,0,IF($C144=AM$2,"PAGAR"&amp;" "&amp;TEXT($B144," #.##0,00"),0)))</f>
        <v>0</v>
      </c>
      <c r="AN144" s="111">
        <f t="shared" ca="1" si="34"/>
        <v>0</v>
      </c>
      <c r="AO144" s="287">
        <f t="shared" si="35"/>
        <v>0</v>
      </c>
    </row>
    <row r="145" spans="1:41" x14ac:dyDescent="0.25">
      <c r="A145" s="212" t="s">
        <v>177</v>
      </c>
      <c r="B145" s="90">
        <v>1500</v>
      </c>
      <c r="C145" s="91">
        <v>6</v>
      </c>
      <c r="D145" s="97"/>
      <c r="E145" s="166"/>
      <c r="F145" s="84">
        <f ca="1">+IF(TODAY()&lt;DATEVALUE(1&amp;D$1&amp;E$1),0,IF(C145&gt;0,IF(C145-SUM(I$255:AM$255)&lt;0,B145-SUM(I145:AM145,0),0),0))+IF(C145=-1,B145-SUM(J145:AM145))</f>
        <v>1500</v>
      </c>
      <c r="G145" s="4">
        <f t="shared" si="33"/>
        <v>0</v>
      </c>
      <c r="H145" s="14"/>
      <c r="I145" s="111">
        <f>IF(I$2=$E145,$D145,IF(I$2&gt;I$257,0,IF($C145=I$2,"PAGAR"&amp;" "&amp;TEXT($B145," #.##0,00"),IF($C145=-1,"PAGAR"&amp;" "&amp;TEXT($B145," #.##0,00"),0))))</f>
        <v>0</v>
      </c>
      <c r="J145" s="111">
        <f>+IF(J$2=$E145,$D145,IF(J$2&gt;J$257,0,IF($C145=J$2,"PAGAR"&amp;" "&amp;TEXT($B145," #.##0,00"),0)))</f>
        <v>0</v>
      </c>
      <c r="K145" s="111">
        <f>+IF(K$2=$E145,$D145,IF(K$2&gt;K$257,0,IF($C145=K$2,"PAGAR"&amp;" "&amp;TEXT($B145," #.##0,00"),0)))</f>
        <v>0</v>
      </c>
      <c r="L145" s="111">
        <f>+IF(L$2=$E145,$D145,IF(L$2&gt;L$257,0,IF($C145=L$2,"PAGAR"&amp;" "&amp;TEXT($B145," #.##0,00"),0)))</f>
        <v>0</v>
      </c>
      <c r="M145" s="111">
        <f>+IF(M$2=$E145,$D145,IF(M$2&gt;M$257,0,IF($C145=M$2,"PAGAR"&amp;" "&amp;TEXT($B145," #.##0,00"),0)))</f>
        <v>0</v>
      </c>
      <c r="N145" s="111" t="str">
        <f>+IF(N$2=$E145,$D145,IF(N$2&gt;N$257,0,IF($C145=N$2,"PAGAR"&amp;" "&amp;TEXT($B145," #.##0,00"),0)))</f>
        <v>PAGAR  1.500,00</v>
      </c>
      <c r="O145" s="111">
        <f>+IF(O$2=$E145,$D145,IF(O$2&gt;O$257,0,IF($C145=O$2,"PAGAR"&amp;" "&amp;TEXT($B145," #.##0,00"),0)))</f>
        <v>0</v>
      </c>
      <c r="P145" s="111">
        <f>+IF(P$2=$E145,$D145,IF(P$2&gt;P$257,0,IF($C145=P$2,"PAGAR"&amp;" "&amp;TEXT($B145," #.##0,00"),0)))</f>
        <v>0</v>
      </c>
      <c r="Q145" s="111">
        <f>+IF(Q$2=$E145,$D145,IF(Q$2&gt;Q$257,0,IF($C145=Q$2,"PAGAR"&amp;" "&amp;TEXT($B145," #.##0,00"),0)))</f>
        <v>0</v>
      </c>
      <c r="R145" s="111">
        <f>+IF(R$2=$E145,$D145,IF(R$2&gt;R$257,0,IF($C145=R$2,"PAGAR"&amp;" "&amp;TEXT($B145," #.##0,00"),0)))</f>
        <v>0</v>
      </c>
      <c r="S145" s="111">
        <f>+IF(S$2=$E145,$D145,IF(S$2&gt;S$257,0,IF($C145=S$2,"PAGAR"&amp;" "&amp;TEXT($B145," #.##0,00"),0)))</f>
        <v>0</v>
      </c>
      <c r="T145" s="111">
        <f>+IF(T$2=$E145,$D145,IF(T$2&gt;T$257,0,IF($C145=T$2,"PAGAR"&amp;" "&amp;TEXT($B145," #.##0,00"),0)))</f>
        <v>0</v>
      </c>
      <c r="U145" s="111">
        <f>+IF(U$2=$E145,$D145,IF(U$2&gt;U$257,0,IF($C145=U$2,"PAGAR"&amp;" "&amp;TEXT($B145," #.##0,00"),0)))</f>
        <v>0</v>
      </c>
      <c r="V145" s="111">
        <f>+IF(V$2=$E145,$D145,IF(V$2&gt;V$257,0,IF($C145=V$2,"PAGAR"&amp;" "&amp;TEXT($B145," #.##0,00"),0)))</f>
        <v>0</v>
      </c>
      <c r="W145" s="111">
        <f>+IF(W$2=$E145,$D145,IF(W$2&gt;W$257,0,IF($C145=W$2,"PAGAR"&amp;" "&amp;TEXT($B145," #.##0,00"),0)))</f>
        <v>0</v>
      </c>
      <c r="X145" s="111">
        <f>+IF(X$2=$E145,$D145,IF(X$2&gt;X$257,0,IF($C145=X$2,"PAGAR"&amp;" "&amp;TEXT($B145," #.##0,00"),0)))</f>
        <v>0</v>
      </c>
      <c r="Y145" s="111">
        <f>+IF(Y$2=$E145,$D145,IF(Y$2&gt;Y$257,0,IF($C145=Y$2,"PAGAR"&amp;" "&amp;TEXT($B145," #.##0,00"),0)))</f>
        <v>0</v>
      </c>
      <c r="Z145" s="111">
        <f>+IF(Z$2=$E145,$D145,IF(Z$2&gt;Z$257,0,IF($C145=Z$2,"PAGAR"&amp;" "&amp;TEXT($B145," #.##0,00"),0)))</f>
        <v>0</v>
      </c>
      <c r="AA145" s="111">
        <f>+IF(AA$2=$E145,$D145,IF(AA$2&gt;AA$257,0,IF($C145=AA$2,"PAGAR"&amp;" "&amp;TEXT($B145," #.##0,00"),0)))</f>
        <v>0</v>
      </c>
      <c r="AB145" s="111">
        <f>+IF(AB$2=$E145,$D145,IF(AB$2&gt;AB$257,0,IF($C145=AB$2,"PAGAR"&amp;" "&amp;TEXT($B145," #.##0,00"),0)))</f>
        <v>0</v>
      </c>
      <c r="AC145" s="111">
        <f>+IF(AC$2=$E145,$D145,IF(AC$2&gt;AC$257,0,IF($C145=AC$2,"PAGAR"&amp;" "&amp;TEXT($B145," #.##0,00"),0)))</f>
        <v>0</v>
      </c>
      <c r="AD145" s="111">
        <f>+IF(AD$2=$E145,$D145,IF(AD$2&gt;AD$257,0,IF($C145=AD$2,"PAGAR"&amp;" "&amp;TEXT($B145," #.##0,00"),0)))</f>
        <v>0</v>
      </c>
      <c r="AE145" s="111">
        <f>+IF(AE$2=$E145,$D145,IF(AE$2&gt;AE$257,0,IF($C145=AE$2,"PAGAR"&amp;" "&amp;TEXT($B145," #.##0,00"),0)))</f>
        <v>0</v>
      </c>
      <c r="AF145" s="111">
        <f>+IF(AF$2=$E145,$D145,IF(AF$2&gt;AF$257,0,IF($C145=AF$2,"PAGAR"&amp;" "&amp;TEXT($B145," #.##0,00"),0)))</f>
        <v>0</v>
      </c>
      <c r="AG145" s="111">
        <f>+IF(AG$2=$E145,$D145,IF(AG$2&gt;AG$257,0,IF($C145=AG$2,"PAGAR"&amp;" "&amp;TEXT($B145," #.##0,00"),0)))</f>
        <v>0</v>
      </c>
      <c r="AH145" s="111">
        <f>+IF(AH$2=$E145,$D145,IF(AH$2&gt;AH$257,0,IF($C145=AH$2,"PAGAR"&amp;" "&amp;TEXT($B145," #.##0,00"),0)))</f>
        <v>0</v>
      </c>
      <c r="AI145" s="111">
        <f>+IF(AI$2=$E145,$D145,IF(AI$2&gt;AI$257,0,IF($C145=AI$2,"PAGAR"&amp;" "&amp;TEXT($B145," #.##0,00"),0)))</f>
        <v>0</v>
      </c>
      <c r="AJ145" s="111">
        <f>+IF(AJ$2=$E145,$D145,IF(AJ$2&gt;AJ$257,0,IF($C145=AJ$2,"PAGAR"&amp;" "&amp;TEXT($B145," #.##0,00"),0)))</f>
        <v>0</v>
      </c>
      <c r="AK145" s="111">
        <f>+IF(AK$2=$E145,$D145,IF(AK$2&gt;AK$257,0,IF($C145=AK$2,"PAGAR"&amp;" "&amp;TEXT($B145," #.##0,00"),0)))</f>
        <v>0</v>
      </c>
      <c r="AL145" s="111">
        <f>+IF(AL$2=$E145,$D145,IF(AL$2&gt;AL$257,0,IF($C145=AL$2,"PAGAR"&amp;" "&amp;TEXT($B145," #.##0,00"),0)))</f>
        <v>0</v>
      </c>
      <c r="AM145" s="111">
        <f>+IF(AM$2=$E145,$D145,IF(AM$2&gt;AM$257,0,IF($C145=AM$2,"PAGAR"&amp;" "&amp;TEXT($B145," #.##0,00"),0)))</f>
        <v>0</v>
      </c>
      <c r="AN145" s="111">
        <f t="shared" ca="1" si="34"/>
        <v>0</v>
      </c>
      <c r="AO145" s="287">
        <f t="shared" si="35"/>
        <v>0</v>
      </c>
    </row>
    <row r="146" spans="1:41" x14ac:dyDescent="0.25">
      <c r="A146" s="212" t="s">
        <v>178</v>
      </c>
      <c r="B146" s="90">
        <v>12000</v>
      </c>
      <c r="C146" s="91">
        <v>20</v>
      </c>
      <c r="D146" s="97"/>
      <c r="E146" s="166"/>
      <c r="F146" s="84">
        <f ca="1">+IF(TODAY()&lt;DATEVALUE(1&amp;D$1&amp;E$1),0,IF(C146&gt;0,IF(C146-SUM(I$255:AM$255)&lt;0,B146-SUM(I146:AM146,0),0),0))+IF(C146=-1,B146-SUM(J146:AM146))</f>
        <v>0</v>
      </c>
      <c r="G146" s="4">
        <f t="shared" si="33"/>
        <v>0</v>
      </c>
      <c r="H146" s="14"/>
      <c r="I146" s="194">
        <f>IF(I$2=$E146,$D146,IF(I$2&gt;I$257,0,IF($C146=I$2,"PAGAR"&amp;" "&amp;TEXT($B146," #.##0,00"),IF($C146=-1,"PAGAR"&amp;" "&amp;TEXT($B146," #.##0,00"),0))))</f>
        <v>0</v>
      </c>
      <c r="J146" s="111">
        <f>+IF(J$2=$E146,$D146,IF(J$2&gt;J$257,0,IF($C146=J$2,"PAGAR"&amp;" "&amp;TEXT($B146," #.##0,00"),0)))</f>
        <v>0</v>
      </c>
      <c r="K146" s="111">
        <f>+IF(K$2=$E146,$D146,IF(K$2&gt;K$257,0,IF($C146=K$2,"PAGAR"&amp;" "&amp;TEXT($B146," #.##0,00"),0)))</f>
        <v>0</v>
      </c>
      <c r="L146" s="111">
        <f>+IF(L$2=$E146,$D146,IF(L$2&gt;L$257,0,IF($C146=L$2,"PAGAR"&amp;" "&amp;TEXT($B146," #.##0,00"),0)))</f>
        <v>0</v>
      </c>
      <c r="M146" s="111">
        <f>+IF(M$2=$E146,$D146,IF(M$2&gt;M$257,0,IF($C146=M$2,"PAGAR"&amp;" "&amp;TEXT($B146," #.##0,00"),0)))</f>
        <v>0</v>
      </c>
      <c r="N146" s="111">
        <f>+IF(N$2=$E146,$D146,IF(N$2&gt;N$257,0,IF($C146=N$2,"PAGAR"&amp;" "&amp;TEXT($B146," #.##0,00"),0)))</f>
        <v>0</v>
      </c>
      <c r="O146" s="111">
        <f>+IF(O$2=$E146,$D146,IF(O$2&gt;O$257,0,IF($C146=O$2,"PAGAR"&amp;" "&amp;TEXT($B146," #.##0,00"),0)))</f>
        <v>0</v>
      </c>
      <c r="P146" s="111">
        <f>+IF(P$2=$E146,$D146,IF(P$2&gt;P$257,0,IF($C146=P$2,"PAGAR"&amp;" "&amp;TEXT($B146," #.##0,00"),0)))</f>
        <v>0</v>
      </c>
      <c r="Q146" s="111">
        <f>+IF(Q$2=$E146,$D146,IF(Q$2&gt;Q$257,0,IF($C146=Q$2,"PAGAR"&amp;" "&amp;TEXT($B146," #.##0,00"),0)))</f>
        <v>0</v>
      </c>
      <c r="R146" s="111">
        <f>+IF(R$2=$E146,$D146,IF(R$2&gt;R$257,0,IF($C146=R$2,"PAGAR"&amp;" "&amp;TEXT($B146," #.##0,00"),0)))</f>
        <v>0</v>
      </c>
      <c r="S146" s="111">
        <f>+IF(S$2=$E146,$D146,IF(S$2&gt;S$257,0,IF($C146=S$2,"PAGAR"&amp;" "&amp;TEXT($B146," #.##0,00"),0)))</f>
        <v>0</v>
      </c>
      <c r="T146" s="111">
        <f>+IF(T$2=$E146,$D146,IF(T$2&gt;T$257,0,IF($C146=T$2,"PAGAR"&amp;" "&amp;TEXT($B146," #.##0,00"),0)))</f>
        <v>0</v>
      </c>
      <c r="U146" s="111">
        <f>+IF(U$2=$E146,$D146,IF(U$2&gt;U$257,0,IF($C146=U$2,"PAGAR"&amp;" "&amp;TEXT($B146," #.##0,00"),0)))</f>
        <v>0</v>
      </c>
      <c r="V146" s="111">
        <f>+IF(V$2=$E146,$D146,IF(V$2&gt;V$257,0,IF($C146=V$2,"PAGAR"&amp;" "&amp;TEXT($B146," #.##0,00"),0)))</f>
        <v>0</v>
      </c>
      <c r="W146" s="111">
        <f>+IF(W$2=$E146,$D146,IF(W$2&gt;W$257,0,IF($C146=W$2,"PAGAR"&amp;" "&amp;TEXT($B146," #.##0,00"),0)))</f>
        <v>0</v>
      </c>
      <c r="X146" s="111">
        <f>+IF(X$2=$E146,$D146,IF(X$2&gt;X$257,0,IF($C146=X$2,"PAGAR"&amp;" "&amp;TEXT($B146," #.##0,00"),0)))</f>
        <v>0</v>
      </c>
      <c r="Y146" s="111">
        <f>+IF(Y$2=$E146,$D146,IF(Y$2&gt;Y$257,0,IF($C146=Y$2,"PAGAR"&amp;" "&amp;TEXT($B146," #.##0,00"),0)))</f>
        <v>0</v>
      </c>
      <c r="Z146" s="111">
        <f>+IF(Z$2=$E146,$D146,IF(Z$2&gt;Z$257,0,IF($C146=Z$2,"PAGAR"&amp;" "&amp;TEXT($B146," #.##0,00"),0)))</f>
        <v>0</v>
      </c>
      <c r="AA146" s="111">
        <f>+IF(AA$2=$E146,$D146,IF(AA$2&gt;AA$257,0,IF($C146=AA$2,"PAGAR"&amp;" "&amp;TEXT($B146," #.##0,00"),0)))</f>
        <v>0</v>
      </c>
      <c r="AB146" s="111" t="str">
        <f>+IF(AB$2=$E146,$D146,IF(AB$2&gt;AB$257,0,IF($C146=AB$2,"PAGAR"&amp;" "&amp;TEXT($B146," #.##0,00"),0)))</f>
        <v>PAGAR  12.000,00</v>
      </c>
      <c r="AC146" s="111">
        <f>+IF(AC$2=$E146,$D146,IF(AC$2&gt;AC$257,0,IF($C146=AC$2,"PAGAR"&amp;" "&amp;TEXT($B146," #.##0,00"),0)))</f>
        <v>0</v>
      </c>
      <c r="AD146" s="111">
        <f>+IF(AD$2=$E146,$D146,IF(AD$2&gt;AD$257,0,IF($C146=AD$2,"PAGAR"&amp;" "&amp;TEXT($B146," #.##0,00"),0)))</f>
        <v>0</v>
      </c>
      <c r="AE146" s="111">
        <f>+IF(AE$2=$E146,$D146,IF(AE$2&gt;AE$257,0,IF($C146=AE$2,"PAGAR"&amp;" "&amp;TEXT($B146," #.##0,00"),0)))</f>
        <v>0</v>
      </c>
      <c r="AF146" s="111">
        <f>+IF(AF$2=$E146,$D146,IF(AF$2&gt;AF$257,0,IF($C146=AF$2,"PAGAR"&amp;" "&amp;TEXT($B146," #.##0,00"),0)))</f>
        <v>0</v>
      </c>
      <c r="AG146" s="111">
        <f>+IF(AG$2=$E146,$D146,IF(AG$2&gt;AG$257,0,IF($C146=AG$2,"PAGAR"&amp;" "&amp;TEXT($B146," #.##0,00"),0)))</f>
        <v>0</v>
      </c>
      <c r="AH146" s="111">
        <f>+IF(AH$2=$E146,$D146,IF(AH$2&gt;AH$257,0,IF($C146=AH$2,"PAGAR"&amp;" "&amp;TEXT($B146," #.##0,00"),0)))</f>
        <v>0</v>
      </c>
      <c r="AI146" s="111">
        <f>+IF(AI$2=$E146,$D146,IF(AI$2&gt;AI$257,0,IF($C146=AI$2,"PAGAR"&amp;" "&amp;TEXT($B146," #.##0,00"),0)))</f>
        <v>0</v>
      </c>
      <c r="AJ146" s="111">
        <f>+IF(AJ$2=$E146,$D146,IF(AJ$2&gt;AJ$257,0,IF($C146=AJ$2,"PAGAR"&amp;" "&amp;TEXT($B146," #.##0,00"),0)))</f>
        <v>0</v>
      </c>
      <c r="AK146" s="111">
        <f>+IF(AK$2=$E146,$D146,IF(AK$2&gt;AK$257,0,IF($C146=AK$2,"PAGAR"&amp;" "&amp;TEXT($B146," #.##0,00"),0)))</f>
        <v>0</v>
      </c>
      <c r="AL146" s="111">
        <f>+IF(AL$2=$E146,$D146,IF(AL$2&gt;AL$257,0,IF($C146=AL$2,"PAGAR"&amp;" "&amp;TEXT($B146," #.##0,00"),0)))</f>
        <v>0</v>
      </c>
      <c r="AM146" s="111">
        <f>+IF(AM$2=$E146,$D146,IF(AM$2&gt;AM$257,0,IF($C146=AM$2,"PAGAR"&amp;" "&amp;TEXT($B146," #.##0,00"),0)))</f>
        <v>0</v>
      </c>
      <c r="AN146" s="111">
        <f t="shared" ca="1" si="34"/>
        <v>0</v>
      </c>
      <c r="AO146" s="287">
        <f t="shared" si="35"/>
        <v>0</v>
      </c>
    </row>
    <row r="147" spans="1:41" x14ac:dyDescent="0.25">
      <c r="A147" s="212" t="s">
        <v>179</v>
      </c>
      <c r="B147" s="90">
        <v>1500</v>
      </c>
      <c r="C147" s="91">
        <v>20</v>
      </c>
      <c r="D147" s="97"/>
      <c r="E147" s="166"/>
      <c r="F147" s="84">
        <f ca="1">+IF(TODAY()&lt;DATEVALUE(1&amp;D$1&amp;E$1),0,IF(C147&gt;0,IF(C147-SUM(I$255:AM$255)&lt;0,B147-SUM(I147:AM147,0),0),0))+IF(C147=-1,B147-SUM(J147:AM147))</f>
        <v>0</v>
      </c>
      <c r="G147" s="4">
        <f t="shared" si="33"/>
        <v>0</v>
      </c>
      <c r="H147" s="14"/>
      <c r="I147" s="111">
        <f>IF(I$2=$E147,$D147,IF(I$2&gt;I$257,0,IF($C147=I$2,"PAGAR"&amp;" "&amp;TEXT($B147," #.##0,00"),IF($C147=-1,"PAGAR"&amp;" "&amp;TEXT($B147," #.##0,00"),0))))</f>
        <v>0</v>
      </c>
      <c r="J147" s="111">
        <f>+IF(J$2=$E147,$D147,IF(J$2&gt;J$257,0,IF($C147=J$2,"PAGAR"&amp;" "&amp;TEXT($B147," #.##0,00"),0)))</f>
        <v>0</v>
      </c>
      <c r="K147" s="111">
        <f>+IF(K$2=$E147,$D147,IF(K$2&gt;K$257,0,IF($C147=K$2,"PAGAR"&amp;" "&amp;TEXT($B147," #.##0,00"),0)))</f>
        <v>0</v>
      </c>
      <c r="L147" s="111">
        <f>+IF(L$2=$E147,$D147,IF(L$2&gt;L$257,0,IF($C147=L$2,"PAGAR"&amp;" "&amp;TEXT($B147," #.##0,00"),0)))</f>
        <v>0</v>
      </c>
      <c r="M147" s="111">
        <f>+IF(M$2=$E147,$D147,IF(M$2&gt;M$257,0,IF($C147=M$2,"PAGAR"&amp;" "&amp;TEXT($B147," #.##0,00"),0)))</f>
        <v>0</v>
      </c>
      <c r="N147" s="111">
        <f>+IF(N$2=$E147,$D147,IF(N$2&gt;N$257,0,IF($C147=N$2,"PAGAR"&amp;" "&amp;TEXT($B147," #.##0,00"),0)))</f>
        <v>0</v>
      </c>
      <c r="O147" s="111">
        <f>+IF(O$2=$E147,$D147,IF(O$2&gt;O$257,0,IF($C147=O$2,"PAGAR"&amp;" "&amp;TEXT($B147," #.##0,00"),0)))</f>
        <v>0</v>
      </c>
      <c r="P147" s="111">
        <f>+IF(P$2=$E147,$D147,IF(P$2&gt;P$257,0,IF($C147=P$2,"PAGAR"&amp;" "&amp;TEXT($B147," #.##0,00"),0)))</f>
        <v>0</v>
      </c>
      <c r="Q147" s="111">
        <f>+IF(Q$2=$E147,$D147,IF(Q$2&gt;Q$257,0,IF($C147=Q$2,"PAGAR"&amp;" "&amp;TEXT($B147," #.##0,00"),0)))</f>
        <v>0</v>
      </c>
      <c r="R147" s="111">
        <f>+IF(R$2=$E147,$D147,IF(R$2&gt;R$257,0,IF($C147=R$2,"PAGAR"&amp;" "&amp;TEXT($B147," #.##0,00"),0)))</f>
        <v>0</v>
      </c>
      <c r="S147" s="111">
        <f>+IF(S$2=$E147,$D147,IF(S$2&gt;S$257,0,IF($C147=S$2,"PAGAR"&amp;" "&amp;TEXT($B147," #.##0,00"),0)))</f>
        <v>0</v>
      </c>
      <c r="T147" s="111">
        <f>+IF(T$2=$E147,$D147,IF(T$2&gt;T$257,0,IF($C147=T$2,"PAGAR"&amp;" "&amp;TEXT($B147," #.##0,00"),0)))</f>
        <v>0</v>
      </c>
      <c r="U147" s="111">
        <f>+IF(U$2=$E147,$D147,IF(U$2&gt;U$257,0,IF($C147=U$2,"PAGAR"&amp;" "&amp;TEXT($B147," #.##0,00"),0)))</f>
        <v>0</v>
      </c>
      <c r="V147" s="111">
        <f>+IF(V$2=$E147,$D147,IF(V$2&gt;V$257,0,IF($C147=V$2,"PAGAR"&amp;" "&amp;TEXT($B147," #.##0,00"),0)))</f>
        <v>0</v>
      </c>
      <c r="W147" s="111">
        <f>+IF(W$2=$E147,$D147,IF(W$2&gt;W$257,0,IF($C147=W$2,"PAGAR"&amp;" "&amp;TEXT($B147," #.##0,00"),0)))</f>
        <v>0</v>
      </c>
      <c r="X147" s="111">
        <f>+IF(X$2=$E147,$D147,IF(X$2&gt;X$257,0,IF($C147=X$2,"PAGAR"&amp;" "&amp;TEXT($B147," #.##0,00"),0)))</f>
        <v>0</v>
      </c>
      <c r="Y147" s="111">
        <f>+IF(Y$2=$E147,$D147,IF(Y$2&gt;Y$257,0,IF($C147=Y$2,"PAGAR"&amp;" "&amp;TEXT($B147," #.##0,00"),0)))</f>
        <v>0</v>
      </c>
      <c r="Z147" s="111">
        <f>+IF(Z$2=$E147,$D147,IF(Z$2&gt;Z$257,0,IF($C147=Z$2,"PAGAR"&amp;" "&amp;TEXT($B147," #.##0,00"),0)))</f>
        <v>0</v>
      </c>
      <c r="AA147" s="111">
        <f>+IF(AA$2=$E147,$D147,IF(AA$2&gt;AA$257,0,IF($C147=AA$2,"PAGAR"&amp;" "&amp;TEXT($B147," #.##0,00"),0)))</f>
        <v>0</v>
      </c>
      <c r="AB147" s="111" t="str">
        <f>+IF(AB$2=$E147,$D147,IF(AB$2&gt;AB$257,0,IF($C147=AB$2,"PAGAR"&amp;" "&amp;TEXT($B147," #.##0,00"),0)))</f>
        <v>PAGAR  1.500,00</v>
      </c>
      <c r="AC147" s="111">
        <f>+IF(AC$2=$E147,$D147,IF(AC$2&gt;AC$257,0,IF($C147=AC$2,"PAGAR"&amp;" "&amp;TEXT($B147," #.##0,00"),0)))</f>
        <v>0</v>
      </c>
      <c r="AD147" s="111">
        <f>+IF(AD$2=$E147,$D147,IF(AD$2&gt;AD$257,0,IF($C147=AD$2,"PAGAR"&amp;" "&amp;TEXT($B147," #.##0,00"),0)))</f>
        <v>0</v>
      </c>
      <c r="AE147" s="111">
        <f>+IF(AE$2=$E147,$D147,IF(AE$2&gt;AE$257,0,IF($C147=AE$2,"PAGAR"&amp;" "&amp;TEXT($B147," #.##0,00"),0)))</f>
        <v>0</v>
      </c>
      <c r="AF147" s="111">
        <f>+IF(AF$2=$E147,$D147,IF(AF$2&gt;AF$257,0,IF($C147=AF$2,"PAGAR"&amp;" "&amp;TEXT($B147," #.##0,00"),0)))</f>
        <v>0</v>
      </c>
      <c r="AG147" s="111">
        <f>+IF(AG$2=$E147,$D147,IF(AG$2&gt;AG$257,0,IF($C147=AG$2,"PAGAR"&amp;" "&amp;TEXT($B147," #.##0,00"),0)))</f>
        <v>0</v>
      </c>
      <c r="AH147" s="111">
        <f>+IF(AH$2=$E147,$D147,IF(AH$2&gt;AH$257,0,IF($C147=AH$2,"PAGAR"&amp;" "&amp;TEXT($B147," #.##0,00"),0)))</f>
        <v>0</v>
      </c>
      <c r="AI147" s="111">
        <f>+IF(AI$2=$E147,$D147,IF(AI$2&gt;AI$257,0,IF($C147=AI$2,"PAGAR"&amp;" "&amp;TEXT($B147," #.##0,00"),0)))</f>
        <v>0</v>
      </c>
      <c r="AJ147" s="111">
        <f>+IF(AJ$2=$E147,$D147,IF(AJ$2&gt;AJ$257,0,IF($C147=AJ$2,"PAGAR"&amp;" "&amp;TEXT($B147," #.##0,00"),0)))</f>
        <v>0</v>
      </c>
      <c r="AK147" s="111">
        <f>+IF(AK$2=$E147,$D147,IF(AK$2&gt;AK$257,0,IF($C147=AK$2,"PAGAR"&amp;" "&amp;TEXT($B147," #.##0,00"),0)))</f>
        <v>0</v>
      </c>
      <c r="AL147" s="111">
        <f>+IF(AL$2=$E147,$D147,IF(AL$2&gt;AL$257,0,IF($C147=AL$2,"PAGAR"&amp;" "&amp;TEXT($B147," #.##0,00"),0)))</f>
        <v>0</v>
      </c>
      <c r="AM147" s="111">
        <f>+IF(AM$2=$E147,$D147,IF(AM$2&gt;AM$257,0,IF($C147=AM$2,"PAGAR"&amp;" "&amp;TEXT($B147," #.##0,00"),0)))</f>
        <v>0</v>
      </c>
      <c r="AN147" s="111">
        <f t="shared" ca="1" si="34"/>
        <v>0</v>
      </c>
      <c r="AO147" s="287">
        <f t="shared" si="35"/>
        <v>0</v>
      </c>
    </row>
    <row r="148" spans="1:41" x14ac:dyDescent="0.25">
      <c r="A148" s="212" t="s">
        <v>180</v>
      </c>
      <c r="B148" s="90">
        <v>596.70000000000005</v>
      </c>
      <c r="C148" s="91">
        <v>13</v>
      </c>
      <c r="D148" s="97"/>
      <c r="E148" s="166"/>
      <c r="F148" s="84">
        <f ca="1">+IF(TODAY()&lt;DATEVALUE(1&amp;D$1&amp;E$1),0,IF(C148&gt;0,IF(C148-SUM(I$255:AM$255)&lt;0,B148-SUM(I148:AM148,0),0),0))+IF(C148=-1,B148-SUM(J148:AM148))</f>
        <v>0</v>
      </c>
      <c r="G148" s="4">
        <f t="shared" si="33"/>
        <v>0</v>
      </c>
      <c r="H148" s="14"/>
      <c r="I148" s="111">
        <f>IF(I$2=$E148,$D148,IF(I$2&gt;I$257,0,IF($C148=I$2,"PAGAR"&amp;" "&amp;TEXT($B148," #.##0,00"),IF($C148=-1,"PAGAR"&amp;" "&amp;TEXT($B148," #.##0,00"),0))))</f>
        <v>0</v>
      </c>
      <c r="J148" s="111">
        <f>+IF(J$2=$E148,$D148,IF(J$2&gt;J$257,0,IF($C148=J$2,"PAGAR"&amp;" "&amp;TEXT($B148," #.##0,00"),0)))</f>
        <v>0</v>
      </c>
      <c r="K148" s="111">
        <f>+IF(K$2=$E148,$D148,IF(K$2&gt;K$257,0,IF($C148=K$2,"PAGAR"&amp;" "&amp;TEXT($B148," #.##0,00"),0)))</f>
        <v>0</v>
      </c>
      <c r="L148" s="111">
        <f>+IF(L$2=$E148,$D148,IF(L$2&gt;L$257,0,IF($C148=L$2,"PAGAR"&amp;" "&amp;TEXT($B148," #.##0,00"),0)))</f>
        <v>0</v>
      </c>
      <c r="M148" s="111">
        <f>+IF(M$2=$E148,$D148,IF(M$2&gt;M$257,0,IF($C148=M$2,"PAGAR"&amp;" "&amp;TEXT($B148," #.##0,00"),0)))</f>
        <v>0</v>
      </c>
      <c r="N148" s="111">
        <f>+IF(N$2=$E148,$D148,IF(N$2&gt;N$257,0,IF($C148=N$2,"PAGAR"&amp;" "&amp;TEXT($B148," #.##0,00"),0)))</f>
        <v>0</v>
      </c>
      <c r="O148" s="111">
        <f>+IF(O$2=$E148,$D148,IF(O$2&gt;O$257,0,IF($C148=O$2,"PAGAR"&amp;" "&amp;TEXT($B148," #.##0,00"),0)))</f>
        <v>0</v>
      </c>
      <c r="P148" s="111">
        <f>+IF(P$2=$E148,$D148,IF(P$2&gt;P$257,0,IF($C148=P$2,"PAGAR"&amp;" "&amp;TEXT($B148," #.##0,00"),0)))</f>
        <v>0</v>
      </c>
      <c r="Q148" s="111">
        <f>+IF(Q$2=$E148,$D148,IF(Q$2&gt;Q$257,0,IF($C148=Q$2,"PAGAR"&amp;" "&amp;TEXT($B148," #.##0,00"),0)))</f>
        <v>0</v>
      </c>
      <c r="R148" s="111">
        <f>+IF(R$2=$E148,$D148,IF(R$2&gt;R$257,0,IF($C148=R$2,"PAGAR"&amp;" "&amp;TEXT($B148," #.##0,00"),0)))</f>
        <v>0</v>
      </c>
      <c r="S148" s="111">
        <f>+IF(S$2=$E148,$D148,IF(S$2&gt;S$257,0,IF($C148=S$2,"PAGAR"&amp;" "&amp;TEXT($B148," #.##0,00"),0)))</f>
        <v>0</v>
      </c>
      <c r="T148" s="111">
        <f>+IF(T$2=$E148,$D148,IF(T$2&gt;T$257,0,IF($C148=T$2,"PAGAR"&amp;" "&amp;TEXT($B148," #.##0,00"),0)))</f>
        <v>0</v>
      </c>
      <c r="U148" s="111" t="str">
        <f>+IF(U$2=$E148,$D148,IF(U$2&gt;U$257,0,IF($C148=U$2,"PAGAR"&amp;" "&amp;TEXT($B148," #.##0,00"),0)))</f>
        <v>PAGAR  596,70</v>
      </c>
      <c r="V148" s="111">
        <f>+IF(V$2=$E148,$D148,IF(V$2&gt;V$257,0,IF($C148=V$2,"PAGAR"&amp;" "&amp;TEXT($B148," #.##0,00"),0)))</f>
        <v>0</v>
      </c>
      <c r="W148" s="111">
        <f>+IF(W$2=$E148,$D148,IF(W$2&gt;W$257,0,IF($C148=W$2,"PAGAR"&amp;" "&amp;TEXT($B148," #.##0,00"),0)))</f>
        <v>0</v>
      </c>
      <c r="X148" s="111">
        <f>+IF(X$2=$E148,$D148,IF(X$2&gt;X$257,0,IF($C148=X$2,"PAGAR"&amp;" "&amp;TEXT($B148," #.##0,00"),0)))</f>
        <v>0</v>
      </c>
      <c r="Y148" s="111">
        <f>+IF(Y$2=$E148,$D148,IF(Y$2&gt;Y$257,0,IF($C148=Y$2,"PAGAR"&amp;" "&amp;TEXT($B148," #.##0,00"),0)))</f>
        <v>0</v>
      </c>
      <c r="Z148" s="111">
        <f>+IF(Z$2=$E148,$D148,IF(Z$2&gt;Z$257,0,IF($C148=Z$2,"PAGAR"&amp;" "&amp;TEXT($B148," #.##0,00"),0)))</f>
        <v>0</v>
      </c>
      <c r="AA148" s="111">
        <f>+IF(AA$2=$E148,$D148,IF(AA$2&gt;AA$257,0,IF($C148=AA$2,"PAGAR"&amp;" "&amp;TEXT($B148," #.##0,00"),0)))</f>
        <v>0</v>
      </c>
      <c r="AB148" s="111">
        <f>+IF(AB$2=$E148,$D148,IF(AB$2&gt;AB$257,0,IF($C148=AB$2,"PAGAR"&amp;" "&amp;TEXT($B148," #.##0,00"),0)))</f>
        <v>0</v>
      </c>
      <c r="AC148" s="111">
        <f>+IF(AC$2=$E148,$D148,IF(AC$2&gt;AC$257,0,IF($C148=AC$2,"PAGAR"&amp;" "&amp;TEXT($B148," #.##0,00"),0)))</f>
        <v>0</v>
      </c>
      <c r="AD148" s="111">
        <f>+IF(AD$2=$E148,$D148,IF(AD$2&gt;AD$257,0,IF($C148=AD$2,"PAGAR"&amp;" "&amp;TEXT($B148," #.##0,00"),0)))</f>
        <v>0</v>
      </c>
      <c r="AE148" s="111">
        <f>+IF(AE$2=$E148,$D148,IF(AE$2&gt;AE$257,0,IF($C148=AE$2,"PAGAR"&amp;" "&amp;TEXT($B148," #.##0,00"),0)))</f>
        <v>0</v>
      </c>
      <c r="AF148" s="111">
        <f>+IF(AF$2=$E148,$D148,IF(AF$2&gt;AF$257,0,IF($C148=AF$2,"PAGAR"&amp;" "&amp;TEXT($B148," #.##0,00"),0)))</f>
        <v>0</v>
      </c>
      <c r="AG148" s="111">
        <f>+IF(AG$2=$E148,$D148,IF(AG$2&gt;AG$257,0,IF($C148=AG$2,"PAGAR"&amp;" "&amp;TEXT($B148," #.##0,00"),0)))</f>
        <v>0</v>
      </c>
      <c r="AH148" s="111">
        <f>+IF(AH$2=$E148,$D148,IF(AH$2&gt;AH$257,0,IF($C148=AH$2,"PAGAR"&amp;" "&amp;TEXT($B148," #.##0,00"),0)))</f>
        <v>0</v>
      </c>
      <c r="AI148" s="111">
        <f>+IF(AI$2=$E148,$D148,IF(AI$2&gt;AI$257,0,IF($C148=AI$2,"PAGAR"&amp;" "&amp;TEXT($B148," #.##0,00"),0)))</f>
        <v>0</v>
      </c>
      <c r="AJ148" s="111">
        <f>+IF(AJ$2=$E148,$D148,IF(AJ$2&gt;AJ$257,0,IF($C148=AJ$2,"PAGAR"&amp;" "&amp;TEXT($B148," #.##0,00"),0)))</f>
        <v>0</v>
      </c>
      <c r="AK148" s="111">
        <f>+IF(AK$2=$E148,$D148,IF(AK$2&gt;AK$257,0,IF($C148=AK$2,"PAGAR"&amp;" "&amp;TEXT($B148," #.##0,00"),0)))</f>
        <v>0</v>
      </c>
      <c r="AL148" s="111">
        <f>+IF(AL$2=$E148,$D148,IF(AL$2&gt;AL$257,0,IF($C148=AL$2,"PAGAR"&amp;" "&amp;TEXT($B148," #.##0,00"),0)))</f>
        <v>0</v>
      </c>
      <c r="AM148" s="111">
        <f>+IF(AM$2=$E148,$D148,IF(AM$2&gt;AM$257,0,IF($C148=AM$2,"PAGAR"&amp;" "&amp;TEXT($B148," #.##0,00"),0)))</f>
        <v>0</v>
      </c>
      <c r="AN148" s="111">
        <f t="shared" ca="1" si="34"/>
        <v>0</v>
      </c>
      <c r="AO148" s="287">
        <f t="shared" si="35"/>
        <v>0</v>
      </c>
    </row>
    <row r="149" spans="1:41" x14ac:dyDescent="0.25">
      <c r="A149" s="212" t="s">
        <v>184</v>
      </c>
      <c r="B149" s="90">
        <v>445.71</v>
      </c>
      <c r="C149" s="91">
        <v>-1</v>
      </c>
      <c r="D149" s="97"/>
      <c r="E149" s="166"/>
      <c r="F149" s="84">
        <f ca="1">+IF(TODAY()&lt;DATEVALUE(1&amp;D$1&amp;E$1),0,IF(C149&gt;0,IF(C149-SUM(I$255:AM$255)&lt;0,B149-SUM(I149:AM149,0),0),0))+IF(C149=-1,B149-SUM(J149:AM149))</f>
        <v>445.71</v>
      </c>
      <c r="G149" s="4">
        <f t="shared" si="33"/>
        <v>0</v>
      </c>
      <c r="H149" s="14"/>
      <c r="I149" s="111" t="str">
        <f>IF(I$2=$E149,$D149,IF(I$2&gt;I$257,0,IF($C149=I$2,"PAGAR"&amp;" "&amp;TEXT($B149," #.##0,00"),IF($C149=-1,"PAGAR"&amp;" "&amp;TEXT($B149," #.##0,00"),0))))</f>
        <v>PAGAR  445,71</v>
      </c>
      <c r="J149" s="111">
        <f>+IF(J$2=$E149,$D149,IF(J$2&gt;J$257,0,IF($C149=J$2,"PAGAR"&amp;" "&amp;TEXT($B149," #.##0,00"),0)))</f>
        <v>0</v>
      </c>
      <c r="K149" s="111">
        <f>+IF(K$2=$E149,$D149,IF(K$2&gt;K$257,0,IF($C149=K$2,"PAGAR"&amp;" "&amp;TEXT($B149," #.##0,00"),0)))</f>
        <v>0</v>
      </c>
      <c r="L149" s="111">
        <f>+IF(L$2=$E149,$D149,IF(L$2&gt;L$257,0,IF($C149=L$2,"PAGAR"&amp;" "&amp;TEXT($B149," #.##0,00"),0)))</f>
        <v>0</v>
      </c>
      <c r="M149" s="111">
        <f>+IF(M$2=$E149,$D149,IF(M$2&gt;M$257,0,IF($C149=M$2,"PAGAR"&amp;" "&amp;TEXT($B149," #.##0,00"),0)))</f>
        <v>0</v>
      </c>
      <c r="N149" s="111">
        <f>+IF(N$2=$E149,$D149,IF(N$2&gt;N$257,0,IF($C149=N$2,"PAGAR"&amp;" "&amp;TEXT($B149," #.##0,00"),0)))</f>
        <v>0</v>
      </c>
      <c r="O149" s="111">
        <f>+IF(O$2=$E149,$D149,IF(O$2&gt;O$257,0,IF($C149=O$2,"PAGAR"&amp;" "&amp;TEXT($B149," #.##0,00"),0)))</f>
        <v>0</v>
      </c>
      <c r="P149" s="111">
        <f>+IF(P$2=$E149,$D149,IF(P$2&gt;P$257,0,IF($C149=P$2,"PAGAR"&amp;" "&amp;TEXT($B149," #.##0,00"),0)))</f>
        <v>0</v>
      </c>
      <c r="Q149" s="111">
        <f>+IF(Q$2=$E149,$D149,IF(Q$2&gt;Q$257,0,IF($C149=Q$2,"PAGAR"&amp;" "&amp;TEXT($B149," #.##0,00"),0)))</f>
        <v>0</v>
      </c>
      <c r="R149" s="111">
        <f>+IF(R$2=$E149,$D149,IF(R$2&gt;R$257,0,IF($C149=R$2,"PAGAR"&amp;" "&amp;TEXT($B149," #.##0,00"),0)))</f>
        <v>0</v>
      </c>
      <c r="S149" s="111">
        <f>+IF(S$2=$E149,$D149,IF(S$2&gt;S$257,0,IF($C149=S$2,"PAGAR"&amp;" "&amp;TEXT($B149," #.##0,00"),0)))</f>
        <v>0</v>
      </c>
      <c r="T149" s="111">
        <f>+IF(T$2=$E149,$D149,IF(T$2&gt;T$257,0,IF($C149=T$2,"PAGAR"&amp;" "&amp;TEXT($B149," #.##0,00"),0)))</f>
        <v>0</v>
      </c>
      <c r="U149" s="111">
        <f>+IF(U$2=$E149,$D149,IF(U$2&gt;U$257,0,IF($C149=U$2,"PAGAR"&amp;" "&amp;TEXT($B149," #.##0,00"),0)))</f>
        <v>0</v>
      </c>
      <c r="V149" s="111">
        <f>+IF(V$2=$E149,$D149,IF(V$2&gt;V$257,0,IF($C149=V$2,"PAGAR"&amp;" "&amp;TEXT($B149," #.##0,00"),0)))</f>
        <v>0</v>
      </c>
      <c r="W149" s="111">
        <f>+IF(W$2=$E149,$D149,IF(W$2&gt;W$257,0,IF($C149=W$2,"PAGAR"&amp;" "&amp;TEXT($B149," #.##0,00"),0)))</f>
        <v>0</v>
      </c>
      <c r="X149" s="111">
        <f>+IF(X$2=$E149,$D149,IF(X$2&gt;X$257,0,IF($C149=X$2,"PAGAR"&amp;" "&amp;TEXT($B149," #.##0,00"),0)))</f>
        <v>0</v>
      </c>
      <c r="Y149" s="111">
        <f>+IF(Y$2=$E149,$D149,IF(Y$2&gt;Y$257,0,IF($C149=Y$2,"PAGAR"&amp;" "&amp;TEXT($B149," #.##0,00"),0)))</f>
        <v>0</v>
      </c>
      <c r="Z149" s="111">
        <f>+IF(Z$2=$E149,$D149,IF(Z$2&gt;Z$257,0,IF($C149=Z$2,"PAGAR"&amp;" "&amp;TEXT($B149," #.##0,00"),0)))</f>
        <v>0</v>
      </c>
      <c r="AA149" s="111">
        <f>+IF(AA$2=$E149,$D149,IF(AA$2&gt;AA$257,0,IF($C149=AA$2,"PAGAR"&amp;" "&amp;TEXT($B149," #.##0,00"),0)))</f>
        <v>0</v>
      </c>
      <c r="AB149" s="111">
        <f>+IF(AB$2=$E149,$D149,IF(AB$2&gt;AB$257,0,IF($C149=AB$2,"PAGAR"&amp;" "&amp;TEXT($B149," #.##0,00"),0)))</f>
        <v>0</v>
      </c>
      <c r="AC149" s="111">
        <f>+IF(AC$2=$E149,$D149,IF(AC$2&gt;AC$257,0,IF($C149=AC$2,"PAGAR"&amp;" "&amp;TEXT($B149," #.##0,00"),0)))</f>
        <v>0</v>
      </c>
      <c r="AD149" s="111">
        <f>+IF(AD$2=$E149,$D149,IF(AD$2&gt;AD$257,0,IF($C149=AD$2,"PAGAR"&amp;" "&amp;TEXT($B149," #.##0,00"),0)))</f>
        <v>0</v>
      </c>
      <c r="AE149" s="111">
        <f>+IF(AE$2=$E149,$D149,IF(AE$2&gt;AE$257,0,IF($C149=AE$2,"PAGAR"&amp;" "&amp;TEXT($B149," #.##0,00"),0)))</f>
        <v>0</v>
      </c>
      <c r="AF149" s="111">
        <f>+IF(AF$2=$E149,$D149,IF(AF$2&gt;AF$257,0,IF($C149=AF$2,"PAGAR"&amp;" "&amp;TEXT($B149," #.##0,00"),0)))</f>
        <v>0</v>
      </c>
      <c r="AG149" s="111">
        <f>+IF(AG$2=$E149,$D149,IF(AG$2&gt;AG$257,0,IF($C149=AG$2,"PAGAR"&amp;" "&amp;TEXT($B149," #.##0,00"),0)))</f>
        <v>0</v>
      </c>
      <c r="AH149" s="111">
        <f>+IF(AH$2=$E149,$D149,IF(AH$2&gt;AH$257,0,IF($C149=AH$2,"PAGAR"&amp;" "&amp;TEXT($B149," #.##0,00"),0)))</f>
        <v>0</v>
      </c>
      <c r="AI149" s="111">
        <f>+IF(AI$2=$E149,$D149,IF(AI$2&gt;AI$257,0,IF($C149=AI$2,"PAGAR"&amp;" "&amp;TEXT($B149," #.##0,00"),0)))</f>
        <v>0</v>
      </c>
      <c r="AJ149" s="111">
        <f>+IF(AJ$2=$E149,$D149,IF(AJ$2&gt;AJ$257,0,IF($C149=AJ$2,"PAGAR"&amp;" "&amp;TEXT($B149," #.##0,00"),0)))</f>
        <v>0</v>
      </c>
      <c r="AK149" s="111">
        <f>+IF(AK$2=$E149,$D149,IF(AK$2&gt;AK$257,0,IF($C149=AK$2,"PAGAR"&amp;" "&amp;TEXT($B149," #.##0,00"),0)))</f>
        <v>0</v>
      </c>
      <c r="AL149" s="111">
        <f>+IF(AL$2=$E149,$D149,IF(AL$2&gt;AL$257,0,IF($C149=AL$2,"PAGAR"&amp;" "&amp;TEXT($B149," #.##0,00"),0)))</f>
        <v>0</v>
      </c>
      <c r="AM149" s="111">
        <f>+IF(AM$2=$E149,$D149,IF(AM$2&gt;AM$257,0,IF($C149=AM$2,"PAGAR"&amp;" "&amp;TEXT($B149," #.##0,00"),0)))</f>
        <v>0</v>
      </c>
      <c r="AN149" s="111">
        <f t="shared" ca="1" si="34"/>
        <v>0</v>
      </c>
      <c r="AO149" s="287">
        <f t="shared" si="35"/>
        <v>0</v>
      </c>
    </row>
    <row r="150" spans="1:41" x14ac:dyDescent="0.25">
      <c r="A150" s="212" t="s">
        <v>189</v>
      </c>
      <c r="B150" s="90">
        <v>1889.57</v>
      </c>
      <c r="C150" s="91">
        <v>25</v>
      </c>
      <c r="D150" s="97"/>
      <c r="E150" s="166"/>
      <c r="F150" s="84">
        <f ca="1">+IF(TODAY()&lt;DATEVALUE(1&amp;D$1&amp;E$1),0,IF(C150&gt;0,IF(C150-SUM(I$255:AM$255)&lt;0,B150-SUM(I150:AM150,0),0),0))+IF(C150=-1,B150-SUM(J150:AM150))</f>
        <v>0</v>
      </c>
      <c r="G150" s="4">
        <f t="shared" si="33"/>
        <v>0</v>
      </c>
      <c r="H150" s="14"/>
      <c r="I150" s="111">
        <f>IF(I$2=$E150,$D150,IF(I$2&gt;I$257,0,IF($C150=I$2,"PAGAR"&amp;" "&amp;TEXT($B150," #.##0,00"),IF($C150=-1,"PAGAR"&amp;" "&amp;TEXT($B150," #.##0,00"),0))))</f>
        <v>0</v>
      </c>
      <c r="J150" s="111">
        <f>+IF(J$2=$E150,$D150,IF(J$2&gt;J$257,0,IF($C150=J$2,"PAGAR"&amp;" "&amp;TEXT($B150," #.##0,00"),0)))</f>
        <v>0</v>
      </c>
      <c r="K150" s="111">
        <f>+IF(K$2=$E150,$D150,IF(K$2&gt;K$257,0,IF($C150=K$2,"PAGAR"&amp;" "&amp;TEXT($B150," #.##0,00"),0)))</f>
        <v>0</v>
      </c>
      <c r="L150" s="111">
        <f>+IF(L$2=$E150,$D150,IF(L$2&gt;L$257,0,IF($C150=L$2,"PAGAR"&amp;" "&amp;TEXT($B150," #.##0,00"),0)))</f>
        <v>0</v>
      </c>
      <c r="M150" s="111">
        <f>+IF(M$2=$E150,$D150,IF(M$2&gt;M$257,0,IF($C150=M$2,"PAGAR"&amp;" "&amp;TEXT($B150," #.##0,00"),0)))</f>
        <v>0</v>
      </c>
      <c r="N150" s="111">
        <f>+IF(N$2=$E150,$D150,IF(N$2&gt;N$257,0,IF($C150=N$2,"PAGAR"&amp;" "&amp;TEXT($B150," #.##0,00"),0)))</f>
        <v>0</v>
      </c>
      <c r="O150" s="111">
        <f>+IF(O$2=$E150,$D150,IF(O$2&gt;O$257,0,IF($C150=O$2,"PAGAR"&amp;" "&amp;TEXT($B150," #.##0,00"),0)))</f>
        <v>0</v>
      </c>
      <c r="P150" s="111">
        <f>+IF(P$2=$E150,$D150,IF(P$2&gt;P$257,0,IF($C150=P$2,"PAGAR"&amp;" "&amp;TEXT($B150," #.##0,00"),0)))</f>
        <v>0</v>
      </c>
      <c r="Q150" s="111">
        <f>+IF(Q$2=$E150,$D150,IF(Q$2&gt;Q$257,0,IF($C150=Q$2,"PAGAR"&amp;" "&amp;TEXT($B150," #.##0,00"),0)))</f>
        <v>0</v>
      </c>
      <c r="R150" s="111">
        <f>+IF(R$2=$E150,$D150,IF(R$2&gt;R$257,0,IF($C150=R$2,"PAGAR"&amp;" "&amp;TEXT($B150," #.##0,00"),0)))</f>
        <v>0</v>
      </c>
      <c r="S150" s="111">
        <f>+IF(S$2=$E150,$D150,IF(S$2&gt;S$257,0,IF($C150=S$2,"PAGAR"&amp;" "&amp;TEXT($B150," #.##0,00"),0)))</f>
        <v>0</v>
      </c>
      <c r="T150" s="111">
        <f>+IF(T$2=$E150,$D150,IF(T$2&gt;T$257,0,IF($C150=T$2,"PAGAR"&amp;" "&amp;TEXT($B150," #.##0,00"),0)))</f>
        <v>0</v>
      </c>
      <c r="U150" s="111">
        <f>+IF(U$2=$E150,$D150,IF(U$2&gt;U$257,0,IF($C150=U$2,"PAGAR"&amp;" "&amp;TEXT($B150," #.##0,00"),0)))</f>
        <v>0</v>
      </c>
      <c r="V150" s="111">
        <f>+IF(V$2=$E150,$D150,IF(V$2&gt;V$257,0,IF($C150=V$2,"PAGAR"&amp;" "&amp;TEXT($B150," #.##0,00"),0)))</f>
        <v>0</v>
      </c>
      <c r="W150" s="111">
        <f>+IF(W$2=$E150,$D150,IF(W$2&gt;W$257,0,IF($C150=W$2,"PAGAR"&amp;" "&amp;TEXT($B150," #.##0,00"),0)))</f>
        <v>0</v>
      </c>
      <c r="X150" s="111">
        <f>+IF(X$2=$E150,$D150,IF(X$2&gt;X$257,0,IF($C150=X$2,"PAGAR"&amp;" "&amp;TEXT($B150," #.##0,00"),0)))</f>
        <v>0</v>
      </c>
      <c r="Y150" s="111">
        <f>+IF(Y$2=$E150,$D150,IF(Y$2&gt;Y$257,0,IF($C150=Y$2,"PAGAR"&amp;" "&amp;TEXT($B150," #.##0,00"),0)))</f>
        <v>0</v>
      </c>
      <c r="Z150" s="111">
        <f>+IF(Z$2=$E150,$D150,IF(Z$2&gt;Z$257,0,IF($C150=Z$2,"PAGAR"&amp;" "&amp;TEXT($B150," #.##0,00"),0)))</f>
        <v>0</v>
      </c>
      <c r="AA150" s="111">
        <f>+IF(AA$2=$E150,$D150,IF(AA$2&gt;AA$257,0,IF($C150=AA$2,"PAGAR"&amp;" "&amp;TEXT($B150," #.##0,00"),0)))</f>
        <v>0</v>
      </c>
      <c r="AB150" s="111">
        <f>+IF(AB$2=$E150,$D150,IF(AB$2&gt;AB$257,0,IF($C150=AB$2,"PAGAR"&amp;" "&amp;TEXT($B150," #.##0,00"),0)))</f>
        <v>0</v>
      </c>
      <c r="AC150" s="111">
        <f>+IF(AC$2=$E150,$D150,IF(AC$2&gt;AC$257,0,IF($C150=AC$2,"PAGAR"&amp;" "&amp;TEXT($B150," #.##0,00"),0)))</f>
        <v>0</v>
      </c>
      <c r="AD150" s="111">
        <f>+IF(AD$2=$E150,$D150,IF(AD$2&gt;AD$257,0,IF($C150=AD$2,"PAGAR"&amp;" "&amp;TEXT($B150," #.##0,00"),0)))</f>
        <v>0</v>
      </c>
      <c r="AE150" s="111">
        <f>+IF(AE$2=$E150,$D150,IF(AE$2&gt;AE$257,0,IF($C150=AE$2,"PAGAR"&amp;" "&amp;TEXT($B150," #.##0,00"),0)))</f>
        <v>0</v>
      </c>
      <c r="AF150" s="111">
        <f>+IF(AF$2=$E150,$D150,IF(AF$2&gt;AF$257,0,IF($C150=AF$2,"PAGAR"&amp;" "&amp;TEXT($B150," #.##0,00"),0)))</f>
        <v>0</v>
      </c>
      <c r="AG150" s="111" t="str">
        <f>+IF(AG$2=$E150,$D150,IF(AG$2&gt;AG$257,0,IF($C150=AG$2,"PAGAR"&amp;" "&amp;TEXT($B150," #.##0,00"),0)))</f>
        <v>PAGAR  1.889,57</v>
      </c>
      <c r="AH150" s="111">
        <f>+IF(AH$2=$E150,$D150,IF(AH$2&gt;AH$257,0,IF($C150=AH$2,"PAGAR"&amp;" "&amp;TEXT($B150," #.##0,00"),0)))</f>
        <v>0</v>
      </c>
      <c r="AI150" s="111">
        <f>+IF(AI$2=$E150,$D150,IF(AI$2&gt;AI$257,0,IF($C150=AI$2,"PAGAR"&amp;" "&amp;TEXT($B150," #.##0,00"),0)))</f>
        <v>0</v>
      </c>
      <c r="AJ150" s="111">
        <f>+IF(AJ$2=$E150,$D150,IF(AJ$2&gt;AJ$257,0,IF($C150=AJ$2,"PAGAR"&amp;" "&amp;TEXT($B150," #.##0,00"),0)))</f>
        <v>0</v>
      </c>
      <c r="AK150" s="111">
        <f>+IF(AK$2=$E150,$D150,IF(AK$2&gt;AK$257,0,IF($C150=AK$2,"PAGAR"&amp;" "&amp;TEXT($B150," #.##0,00"),0)))</f>
        <v>0</v>
      </c>
      <c r="AL150" s="111">
        <f>+IF(AL$2=$E150,$D150,IF(AL$2&gt;AL$257,0,IF($C150=AL$2,"PAGAR"&amp;" "&amp;TEXT($B150," #.##0,00"),0)))</f>
        <v>0</v>
      </c>
      <c r="AM150" s="111">
        <f>+IF(AM$2=$E150,$D150,IF(AM$2&gt;AM$257,0,IF($C150=AM$2,"PAGAR"&amp;" "&amp;TEXT($B150," #.##0,00"),0)))</f>
        <v>0</v>
      </c>
      <c r="AN150" s="111">
        <f t="shared" ca="1" si="34"/>
        <v>0</v>
      </c>
      <c r="AO150" s="287">
        <f t="shared" si="35"/>
        <v>0</v>
      </c>
    </row>
    <row r="151" spans="1:41" x14ac:dyDescent="0.25">
      <c r="A151" s="212" t="s">
        <v>190</v>
      </c>
      <c r="B151" s="90">
        <v>3624</v>
      </c>
      <c r="C151" s="91">
        <v>11</v>
      </c>
      <c r="D151" s="97"/>
      <c r="E151" s="166"/>
      <c r="F151" s="84">
        <f ca="1">+IF(TODAY()&lt;DATEVALUE(1&amp;D$1&amp;E$1),0,IF(C151&gt;0,IF(C151-SUM(I$255:AM$255)&lt;0,B151-SUM(I151:AM151,0),0),0))+IF(C151=-1,B151-SUM(J151:AM151))</f>
        <v>3624</v>
      </c>
      <c r="G151" s="4">
        <f t="shared" si="33"/>
        <v>0</v>
      </c>
      <c r="H151" s="14"/>
      <c r="I151" s="111">
        <f>IF(I$2=$E151,$D151,IF(I$2&gt;I$257,0,IF($C151=I$2,"PAGAR"&amp;" "&amp;TEXT($B151," #.##0,00"),IF($C151=-1,"PAGAR"&amp;" "&amp;TEXT($B151," #.##0,00"),0))))</f>
        <v>0</v>
      </c>
      <c r="J151" s="111">
        <f>+IF(J$2=$E151,$D151,IF(J$2&gt;J$257,0,IF($C151=J$2,"PAGAR"&amp;" "&amp;TEXT($B151," #.##0,00"),0)))</f>
        <v>0</v>
      </c>
      <c r="K151" s="111">
        <f>+IF(K$2=$E151,$D151,IF(K$2&gt;K$257,0,IF($C151=K$2,"PAGAR"&amp;" "&amp;TEXT($B151," #.##0,00"),0)))</f>
        <v>0</v>
      </c>
      <c r="L151" s="111">
        <f>+IF(L$2=$E151,$D151,IF(L$2&gt;L$257,0,IF($C151=L$2,"PAGAR"&amp;" "&amp;TEXT($B151," #.##0,00"),0)))</f>
        <v>0</v>
      </c>
      <c r="M151" s="111">
        <f>+IF(M$2=$E151,$D151,IF(M$2&gt;M$257,0,IF($C151=M$2,"PAGAR"&amp;" "&amp;TEXT($B151," #.##0,00"),0)))</f>
        <v>0</v>
      </c>
      <c r="N151" s="111">
        <f>+IF(N$2=$E151,$D151,IF(N$2&gt;N$257,0,IF($C151=N$2,"PAGAR"&amp;" "&amp;TEXT($B151," #.##0,00"),0)))</f>
        <v>0</v>
      </c>
      <c r="O151" s="111">
        <f>+IF(O$2=$E151,$D151,IF(O$2&gt;O$257,0,IF($C151=O$2,"PAGAR"&amp;" "&amp;TEXT($B151," #.##0,00"),0)))</f>
        <v>0</v>
      </c>
      <c r="P151" s="111">
        <f>+IF(P$2=$E151,$D151,IF(P$2&gt;P$257,0,IF($C151=P$2,"PAGAR"&amp;" "&amp;TEXT($B151," #.##0,00"),0)))</f>
        <v>0</v>
      </c>
      <c r="Q151" s="111">
        <f>+IF(Q$2=$E151,$D151,IF(Q$2&gt;Q$257,0,IF($C151=Q$2,"PAGAR"&amp;" "&amp;TEXT($B151," #.##0,00"),0)))</f>
        <v>0</v>
      </c>
      <c r="R151" s="111">
        <f>+IF(R$2=$E151,$D151,IF(R$2&gt;R$257,0,IF($C151=R$2,"PAGAR"&amp;" "&amp;TEXT($B151," #.##0,00"),0)))</f>
        <v>0</v>
      </c>
      <c r="S151" s="111" t="str">
        <f>+IF(S$2=$E151,$D151,IF(S$2&gt;S$257,0,IF($C151=S$2,"PAGAR"&amp;" "&amp;TEXT($B151," #.##0,00"),0)))</f>
        <v>PAGAR  3.624,00</v>
      </c>
      <c r="T151" s="111">
        <f>+IF(T$2=$E151,$D151,IF(T$2&gt;T$257,0,IF($C151=T$2,"PAGAR"&amp;" "&amp;TEXT($B151," #.##0,00"),0)))</f>
        <v>0</v>
      </c>
      <c r="U151" s="111">
        <f>+IF(U$2=$E151,$D151,IF(U$2&gt;U$257,0,IF($C151=U$2,"PAGAR"&amp;" "&amp;TEXT($B151," #.##0,00"),0)))</f>
        <v>0</v>
      </c>
      <c r="V151" s="111">
        <f>+IF(V$2=$E151,$D151,IF(V$2&gt;V$257,0,IF($C151=V$2,"PAGAR"&amp;" "&amp;TEXT($B151," #.##0,00"),0)))</f>
        <v>0</v>
      </c>
      <c r="W151" s="111">
        <f>+IF(W$2=$E151,$D151,IF(W$2&gt;W$257,0,IF($C151=W$2,"PAGAR"&amp;" "&amp;TEXT($B151," #.##0,00"),0)))</f>
        <v>0</v>
      </c>
      <c r="X151" s="111">
        <f>+IF(X$2=$E151,$D151,IF(X$2&gt;X$257,0,IF($C151=X$2,"PAGAR"&amp;" "&amp;TEXT($B151," #.##0,00"),0)))</f>
        <v>0</v>
      </c>
      <c r="Y151" s="111">
        <f>+IF(Y$2=$E151,$D151,IF(Y$2&gt;Y$257,0,IF($C151=Y$2,"PAGAR"&amp;" "&amp;TEXT($B151," #.##0,00"),0)))</f>
        <v>0</v>
      </c>
      <c r="Z151" s="111">
        <f>+IF(Z$2=$E151,$D151,IF(Z$2&gt;Z$257,0,IF($C151=Z$2,"PAGAR"&amp;" "&amp;TEXT($B151," #.##0,00"),0)))</f>
        <v>0</v>
      </c>
      <c r="AA151" s="111">
        <f>+IF(AA$2=$E151,$D151,IF(AA$2&gt;AA$257,0,IF($C151=AA$2,"PAGAR"&amp;" "&amp;TEXT($B151," #.##0,00"),0)))</f>
        <v>0</v>
      </c>
      <c r="AB151" s="111">
        <f>+IF(AB$2=$E151,$D151,IF(AB$2&gt;AB$257,0,IF($C151=AB$2,"PAGAR"&amp;" "&amp;TEXT($B151," #.##0,00"),0)))</f>
        <v>0</v>
      </c>
      <c r="AC151" s="111">
        <f>+IF(AC$2=$E151,$D151,IF(AC$2&gt;AC$257,0,IF($C151=AC$2,"PAGAR"&amp;" "&amp;TEXT($B151," #.##0,00"),0)))</f>
        <v>0</v>
      </c>
      <c r="AD151" s="111">
        <f>+IF(AD$2=$E151,$D151,IF(AD$2&gt;AD$257,0,IF($C151=AD$2,"PAGAR"&amp;" "&amp;TEXT($B151," #.##0,00"),0)))</f>
        <v>0</v>
      </c>
      <c r="AE151" s="111">
        <f>+IF(AE$2=$E151,$D151,IF(AE$2&gt;AE$257,0,IF($C151=AE$2,"PAGAR"&amp;" "&amp;TEXT($B151," #.##0,00"),0)))</f>
        <v>0</v>
      </c>
      <c r="AF151" s="111">
        <f>+IF(AF$2=$E151,$D151,IF(AF$2&gt;AF$257,0,IF($C151=AF$2,"PAGAR"&amp;" "&amp;TEXT($B151," #.##0,00"),0)))</f>
        <v>0</v>
      </c>
      <c r="AG151" s="111">
        <f>+IF(AG$2=$E151,$D151,IF(AG$2&gt;AG$257,0,IF($C151=AG$2,"PAGAR"&amp;" "&amp;TEXT($B151," #.##0,00"),0)))</f>
        <v>0</v>
      </c>
      <c r="AH151" s="111">
        <f>+IF(AH$2=$E151,$D151,IF(AH$2&gt;AH$257,0,IF($C151=AH$2,"PAGAR"&amp;" "&amp;TEXT($B151," #.##0,00"),0)))</f>
        <v>0</v>
      </c>
      <c r="AI151" s="111">
        <f>+IF(AI$2=$E151,$D151,IF(AI$2&gt;AI$257,0,IF($C151=AI$2,"PAGAR"&amp;" "&amp;TEXT($B151," #.##0,00"),0)))</f>
        <v>0</v>
      </c>
      <c r="AJ151" s="111">
        <f>+IF(AJ$2=$E151,$D151,IF(AJ$2&gt;AJ$257,0,IF($C151=AJ$2,"PAGAR"&amp;" "&amp;TEXT($B151," #.##0,00"),0)))</f>
        <v>0</v>
      </c>
      <c r="AK151" s="111">
        <f>+IF(AK$2=$E151,$D151,IF(AK$2&gt;AK$257,0,IF($C151=AK$2,"PAGAR"&amp;" "&amp;TEXT($B151," #.##0,00"),0)))</f>
        <v>0</v>
      </c>
      <c r="AL151" s="111">
        <f>+IF(AL$2=$E151,$D151,IF(AL$2&gt;AL$257,0,IF($C151=AL$2,"PAGAR"&amp;" "&amp;TEXT($B151," #.##0,00"),0)))</f>
        <v>0</v>
      </c>
      <c r="AM151" s="111">
        <f>+IF(AM$2=$E151,$D151,IF(AM$2&gt;AM$257,0,IF($C151=AM$2,"PAGAR"&amp;" "&amp;TEXT($B151," #.##0,00"),0)))</f>
        <v>0</v>
      </c>
      <c r="AN151" s="111">
        <f t="shared" ca="1" si="34"/>
        <v>0</v>
      </c>
      <c r="AO151" s="287">
        <f t="shared" si="35"/>
        <v>0</v>
      </c>
    </row>
    <row r="152" spans="1:41" x14ac:dyDescent="0.25">
      <c r="A152" s="212" t="s">
        <v>191</v>
      </c>
      <c r="B152" s="90">
        <v>3450</v>
      </c>
      <c r="C152" s="91">
        <v>15</v>
      </c>
      <c r="D152" s="97"/>
      <c r="E152" s="166"/>
      <c r="F152" s="84">
        <f ca="1">+IF(TODAY()&lt;DATEVALUE(1&amp;D$1&amp;E$1),0,IF(C152&gt;0,IF(C152-SUM(I$255:AM$255)&lt;0,B152-SUM(I152:AM152,0),0),0))+IF(C152=-1,B152-SUM(J152:AM152))</f>
        <v>0</v>
      </c>
      <c r="G152" s="4">
        <f t="shared" si="33"/>
        <v>0</v>
      </c>
      <c r="H152" s="14"/>
      <c r="I152" s="111">
        <f>IF(I$2=$E152,$D152,IF(I$2&gt;I$257,0,IF($C152=I$2,"PAGAR"&amp;" "&amp;TEXT($B152," #.##0,00"),IF($C152=-1,"PAGAR"&amp;" "&amp;TEXT($B152," #.##0,00"),0))))</f>
        <v>0</v>
      </c>
      <c r="J152" s="111">
        <f>+IF(J$2=$E152,$D152,IF(J$2&gt;J$257,0,IF($C152=J$2,"PAGAR"&amp;" "&amp;TEXT($B152," #.##0,00"),0)))</f>
        <v>0</v>
      </c>
      <c r="K152" s="111">
        <f>+IF(K$2=$E152,$D152,IF(K$2&gt;K$257,0,IF($C152=K$2,"PAGAR"&amp;" "&amp;TEXT($B152," #.##0,00"),0)))</f>
        <v>0</v>
      </c>
      <c r="L152" s="111">
        <f>+IF(L$2=$E152,$D152,IF(L$2&gt;L$257,0,IF($C152=L$2,"PAGAR"&amp;" "&amp;TEXT($B152," #.##0,00"),0)))</f>
        <v>0</v>
      </c>
      <c r="M152" s="111">
        <f>+IF(M$2=$E152,$D152,IF(M$2&gt;M$257,0,IF($C152=M$2,"PAGAR"&amp;" "&amp;TEXT($B152," #.##0,00"),0)))</f>
        <v>0</v>
      </c>
      <c r="N152" s="111">
        <f>+IF(N$2=$E152,$D152,IF(N$2&gt;N$257,0,IF($C152=N$2,"PAGAR"&amp;" "&amp;TEXT($B152," #.##0,00"),0)))</f>
        <v>0</v>
      </c>
      <c r="O152" s="111">
        <f>+IF(O$2=$E152,$D152,IF(O$2&gt;O$257,0,IF($C152=O$2,"PAGAR"&amp;" "&amp;TEXT($B152," #.##0,00"),0)))</f>
        <v>0</v>
      </c>
      <c r="P152" s="111">
        <f>+IF(P$2=$E152,$D152,IF(P$2&gt;P$257,0,IF($C152=P$2,"PAGAR"&amp;" "&amp;TEXT($B152," #.##0,00"),0)))</f>
        <v>0</v>
      </c>
      <c r="Q152" s="111">
        <f>+IF(Q$2=$E152,$D152,IF(Q$2&gt;Q$257,0,IF($C152=Q$2,"PAGAR"&amp;" "&amp;TEXT($B152," #.##0,00"),0)))</f>
        <v>0</v>
      </c>
      <c r="R152" s="111">
        <f>+IF(R$2=$E152,$D152,IF(R$2&gt;R$257,0,IF($C152=R$2,"PAGAR"&amp;" "&amp;TEXT($B152," #.##0,00"),0)))</f>
        <v>0</v>
      </c>
      <c r="S152" s="111">
        <f>+IF(S$2=$E152,$D152,IF(S$2&gt;S$257,0,IF($C152=S$2,"PAGAR"&amp;" "&amp;TEXT($B152," #.##0,00"),0)))</f>
        <v>0</v>
      </c>
      <c r="T152" s="111">
        <f>+IF(T$2=$E152,$D152,IF(T$2&gt;T$257,0,IF($C152=T$2,"PAGAR"&amp;" "&amp;TEXT($B152," #.##0,00"),0)))</f>
        <v>0</v>
      </c>
      <c r="U152" s="111">
        <f>+IF(U$2=$E152,$D152,IF(U$2&gt;U$257,0,IF($C152=U$2,"PAGAR"&amp;" "&amp;TEXT($B152," #.##0,00"),0)))</f>
        <v>0</v>
      </c>
      <c r="V152" s="111">
        <f>+IF(V$2=$E152,$D152,IF(V$2&gt;V$257,0,IF($C152=V$2,"PAGAR"&amp;" "&amp;TEXT($B152," #.##0,00"),0)))</f>
        <v>0</v>
      </c>
      <c r="W152" s="111" t="str">
        <f>+IF(W$2=$E152,$D152,IF(W$2&gt;W$257,0,IF($C152=W$2,"PAGAR"&amp;" "&amp;TEXT($B152," #.##0,00"),0)))</f>
        <v>PAGAR  3.450,00</v>
      </c>
      <c r="X152" s="111">
        <f>+IF(X$2=$E152,$D152,IF(X$2&gt;X$257,0,IF($C152=X$2,"PAGAR"&amp;" "&amp;TEXT($B152," #.##0,00"),0)))</f>
        <v>0</v>
      </c>
      <c r="Y152" s="111">
        <f>+IF(Y$2=$E152,$D152,IF(Y$2&gt;Y$257,0,IF($C152=Y$2,"PAGAR"&amp;" "&amp;TEXT($B152," #.##0,00"),0)))</f>
        <v>0</v>
      </c>
      <c r="Z152" s="111">
        <f>+IF(Z$2=$E152,$D152,IF(Z$2&gt;Z$257,0,IF($C152=Z$2,"PAGAR"&amp;" "&amp;TEXT($B152," #.##0,00"),0)))</f>
        <v>0</v>
      </c>
      <c r="AA152" s="111">
        <f>+IF(AA$2=$E152,$D152,IF(AA$2&gt;AA$257,0,IF($C152=AA$2,"PAGAR"&amp;" "&amp;TEXT($B152," #.##0,00"),0)))</f>
        <v>0</v>
      </c>
      <c r="AB152" s="111">
        <f>+IF(AB$2=$E152,$D152,IF(AB$2&gt;AB$257,0,IF($C152=AB$2,"PAGAR"&amp;" "&amp;TEXT($B152," #.##0,00"),0)))</f>
        <v>0</v>
      </c>
      <c r="AC152" s="111">
        <f>+IF(AC$2=$E152,$D152,IF(AC$2&gt;AC$257,0,IF($C152=AC$2,"PAGAR"&amp;" "&amp;TEXT($B152," #.##0,00"),0)))</f>
        <v>0</v>
      </c>
      <c r="AD152" s="111">
        <f>+IF(AD$2=$E152,$D152,IF(AD$2&gt;AD$257,0,IF($C152=AD$2,"PAGAR"&amp;" "&amp;TEXT($B152," #.##0,00"),0)))</f>
        <v>0</v>
      </c>
      <c r="AE152" s="111">
        <f>+IF(AE$2=$E152,$D152,IF(AE$2&gt;AE$257,0,IF($C152=AE$2,"PAGAR"&amp;" "&amp;TEXT($B152," #.##0,00"),0)))</f>
        <v>0</v>
      </c>
      <c r="AF152" s="111">
        <f>+IF(AF$2=$E152,$D152,IF(AF$2&gt;AF$257,0,IF($C152=AF$2,"PAGAR"&amp;" "&amp;TEXT($B152," #.##0,00"),0)))</f>
        <v>0</v>
      </c>
      <c r="AG152" s="111">
        <f>+IF(AG$2=$E152,$D152,IF(AG$2&gt;AG$257,0,IF($C152=AG$2,"PAGAR"&amp;" "&amp;TEXT($B152," #.##0,00"),0)))</f>
        <v>0</v>
      </c>
      <c r="AH152" s="111">
        <f>+IF(AH$2=$E152,$D152,IF(AH$2&gt;AH$257,0,IF($C152=AH$2,"PAGAR"&amp;" "&amp;TEXT($B152," #.##0,00"),0)))</f>
        <v>0</v>
      </c>
      <c r="AI152" s="111">
        <f>+IF(AI$2=$E152,$D152,IF(AI$2&gt;AI$257,0,IF($C152=AI$2,"PAGAR"&amp;" "&amp;TEXT($B152," #.##0,00"),0)))</f>
        <v>0</v>
      </c>
      <c r="AJ152" s="111">
        <f>+IF(AJ$2=$E152,$D152,IF(AJ$2&gt;AJ$257,0,IF($C152=AJ$2,"PAGAR"&amp;" "&amp;TEXT($B152," #.##0,00"),0)))</f>
        <v>0</v>
      </c>
      <c r="AK152" s="111">
        <f>+IF(AK$2=$E152,$D152,IF(AK$2&gt;AK$257,0,IF($C152=AK$2,"PAGAR"&amp;" "&amp;TEXT($B152," #.##0,00"),0)))</f>
        <v>0</v>
      </c>
      <c r="AL152" s="111">
        <f>+IF(AL$2=$E152,$D152,IF(AL$2&gt;AL$257,0,IF($C152=AL$2,"PAGAR"&amp;" "&amp;TEXT($B152," #.##0,00"),0)))</f>
        <v>0</v>
      </c>
      <c r="AM152" s="111">
        <f>+IF(AM$2=$E152,$D152,IF(AM$2&gt;AM$257,0,IF($C152=AM$2,"PAGAR"&amp;" "&amp;TEXT($B152," #.##0,00"),0)))</f>
        <v>0</v>
      </c>
      <c r="AN152" s="111">
        <f t="shared" ca="1" si="34"/>
        <v>0</v>
      </c>
      <c r="AO152" s="287">
        <f t="shared" si="35"/>
        <v>0</v>
      </c>
    </row>
    <row r="153" spans="1:41" ht="15.75" x14ac:dyDescent="0.25">
      <c r="A153" s="112" t="s">
        <v>76</v>
      </c>
      <c r="B153" s="6">
        <f>+SUM(B140:B152)</f>
        <v>62302.97</v>
      </c>
      <c r="C153" s="81"/>
      <c r="D153" s="6">
        <f>+SUM(D140:D152)</f>
        <v>0</v>
      </c>
      <c r="E153" s="81"/>
      <c r="F153" s="195">
        <f ca="1">+SUMIF(F140:F152,"&gt;0")</f>
        <v>34112.54</v>
      </c>
      <c r="G153" s="3">
        <f t="shared" si="33"/>
        <v>0</v>
      </c>
      <c r="H153" s="5"/>
      <c r="I153" s="2">
        <f>+PLAN2!H154</f>
        <v>8945.7099999999991</v>
      </c>
      <c r="J153" s="2">
        <f>+PLAN2!I154</f>
        <v>0</v>
      </c>
      <c r="K153" s="2">
        <f>+PLAN2!J154</f>
        <v>0</v>
      </c>
      <c r="L153" s="2">
        <f>+PLAN2!K154</f>
        <v>0</v>
      </c>
      <c r="M153" s="2">
        <f>+PLAN2!L154</f>
        <v>0</v>
      </c>
      <c r="N153" s="2">
        <f>+PLAN2!M154</f>
        <v>13500</v>
      </c>
      <c r="O153" s="2">
        <f>+PLAN2!N154</f>
        <v>0</v>
      </c>
      <c r="P153" s="2">
        <f>+PLAN2!O154</f>
        <v>0</v>
      </c>
      <c r="Q153" s="2">
        <f>+PLAN2!P154</f>
        <v>8042.83</v>
      </c>
      <c r="R153" s="2">
        <f>+PLAN2!Q154</f>
        <v>0</v>
      </c>
      <c r="S153" s="2">
        <f>+PLAN2!R154</f>
        <v>3624</v>
      </c>
      <c r="T153" s="2">
        <f>+PLAN2!S154</f>
        <v>0</v>
      </c>
      <c r="U153" s="2">
        <f>+PLAN2!T154</f>
        <v>596.70000000000005</v>
      </c>
      <c r="V153" s="2">
        <f>+PLAN2!U154</f>
        <v>0</v>
      </c>
      <c r="W153" s="2">
        <f>+PLAN2!V154</f>
        <v>7827.08</v>
      </c>
      <c r="X153" s="2">
        <f>+PLAN2!W154</f>
        <v>0</v>
      </c>
      <c r="Y153" s="2">
        <f>+PLAN2!X154</f>
        <v>0</v>
      </c>
      <c r="Z153" s="2">
        <f>+PLAN2!Y154</f>
        <v>0</v>
      </c>
      <c r="AA153" s="2">
        <f>+PLAN2!Z154</f>
        <v>0</v>
      </c>
      <c r="AB153" s="2">
        <f>+PLAN2!AA154</f>
        <v>13500</v>
      </c>
      <c r="AC153" s="2">
        <f>+PLAN2!AB154</f>
        <v>0</v>
      </c>
      <c r="AD153" s="2">
        <f>+PLAN2!AC154</f>
        <v>0</v>
      </c>
      <c r="AE153" s="2">
        <f>+PLAN2!AD154</f>
        <v>4377.08</v>
      </c>
      <c r="AF153" s="2">
        <f>+PLAN2!AE154</f>
        <v>0</v>
      </c>
      <c r="AG153" s="2">
        <f>+PLAN2!AF154</f>
        <v>1889.57</v>
      </c>
      <c r="AH153" s="2">
        <f>+PLAN2!AG154</f>
        <v>0</v>
      </c>
      <c r="AI153" s="2">
        <f>+PLAN2!AH154</f>
        <v>0</v>
      </c>
      <c r="AJ153" s="2">
        <f>+PLAN2!AI154</f>
        <v>0</v>
      </c>
      <c r="AK153" s="2">
        <f>+PLAN2!AJ154</f>
        <v>0</v>
      </c>
      <c r="AL153" s="2">
        <f>+PLAN2!AK154</f>
        <v>0</v>
      </c>
      <c r="AM153" s="2">
        <f>+PLAN2!AL154</f>
        <v>0</v>
      </c>
      <c r="AN153" s="2">
        <f ca="1">SUM(AN148:AN152)</f>
        <v>0</v>
      </c>
      <c r="AO153" s="288">
        <f>SUM(AO5:AO152)</f>
        <v>15038.99</v>
      </c>
    </row>
    <row r="154" spans="1:41" ht="15.75" customHeight="1" x14ac:dyDescent="0.25">
      <c r="A154" s="112" t="s">
        <v>217</v>
      </c>
      <c r="B154" s="6">
        <f>SUM(B5:B153)/2-AO153</f>
        <v>171017.60000000009</v>
      </c>
      <c r="C154" s="81"/>
      <c r="D154" s="80"/>
      <c r="E154" s="81"/>
      <c r="F154" s="80"/>
      <c r="G154" s="19"/>
      <c r="H154" s="11"/>
      <c r="I154" s="2">
        <f>+PLAN2!H155</f>
        <v>13199.619999999999</v>
      </c>
      <c r="J154" s="2">
        <f>+PLAN2!I155</f>
        <v>8150</v>
      </c>
      <c r="K154" s="2">
        <f>+PLAN2!J155</f>
        <v>2375.9</v>
      </c>
      <c r="L154" s="2">
        <f>+PLAN2!K155</f>
        <v>22.99</v>
      </c>
      <c r="M154" s="2">
        <f>+PLAN2!L155</f>
        <v>12381.96</v>
      </c>
      <c r="N154" s="2">
        <f>+PLAN2!M155</f>
        <v>15044.59</v>
      </c>
      <c r="O154" s="2">
        <f>+PLAN2!N155</f>
        <v>6404.41</v>
      </c>
      <c r="P154" s="2">
        <f>+PLAN2!O155</f>
        <v>10606.05</v>
      </c>
      <c r="Q154" s="2">
        <f>+PLAN2!P155</f>
        <v>8974.3499999999985</v>
      </c>
      <c r="R154" s="2">
        <f>+PLAN2!Q155</f>
        <v>2585.62</v>
      </c>
      <c r="S154" s="2">
        <f>+PLAN2!R155</f>
        <v>9599.7199999999993</v>
      </c>
      <c r="T154" s="2">
        <f>+PLAN2!S155</f>
        <v>7059.6399999999994</v>
      </c>
      <c r="U154" s="2">
        <f>+PLAN2!T155</f>
        <v>2818.4399999999996</v>
      </c>
      <c r="V154" s="2">
        <f>+PLAN2!U155</f>
        <v>0</v>
      </c>
      <c r="W154" s="2">
        <f>+PLAN2!V155</f>
        <v>13306.080000000002</v>
      </c>
      <c r="X154" s="2">
        <f>+PLAN2!W155</f>
        <v>0</v>
      </c>
      <c r="Y154" s="2">
        <f>+PLAN2!X155</f>
        <v>1010</v>
      </c>
      <c r="Z154" s="2">
        <f>+PLAN2!Y155</f>
        <v>0</v>
      </c>
      <c r="AA154" s="2">
        <f>+PLAN2!Z155</f>
        <v>6900</v>
      </c>
      <c r="AB154" s="2">
        <f>+PLAN2!AA155</f>
        <v>14220</v>
      </c>
      <c r="AC154" s="2">
        <f>+PLAN2!AB155</f>
        <v>0</v>
      </c>
      <c r="AD154" s="2">
        <f>+PLAN2!AC155</f>
        <v>96.99</v>
      </c>
      <c r="AE154" s="2">
        <f>+PLAN2!AD155</f>
        <v>4377.08</v>
      </c>
      <c r="AF154" s="2">
        <f>+PLAN2!AE155</f>
        <v>0</v>
      </c>
      <c r="AG154" s="2">
        <f>+PLAN2!AF155</f>
        <v>5546.16</v>
      </c>
      <c r="AH154" s="2">
        <f>+PLAN2!AG155</f>
        <v>13010.130000000001</v>
      </c>
      <c r="AI154" s="2">
        <f>+PLAN2!AH155</f>
        <v>524.07000000000005</v>
      </c>
      <c r="AJ154" s="2">
        <f>+PLAN2!AI155</f>
        <v>7339.85</v>
      </c>
      <c r="AK154" s="2">
        <f>+PLAN2!AJ155</f>
        <v>0</v>
      </c>
      <c r="AL154" s="2">
        <f>+PLAN2!AK155</f>
        <v>5463.9500000000007</v>
      </c>
      <c r="AM154" s="2">
        <f>+PLAN2!AL155</f>
        <v>0</v>
      </c>
      <c r="AN154" s="281"/>
      <c r="AO154" s="281"/>
    </row>
    <row r="155" spans="1:41" ht="15.75" customHeight="1" x14ac:dyDescent="0.25">
      <c r="A155" s="112" t="s">
        <v>216</v>
      </c>
      <c r="B155" s="6">
        <f>+B154</f>
        <v>171017.60000000009</v>
      </c>
      <c r="C155" s="279"/>
      <c r="D155" s="80"/>
      <c r="E155" s="81"/>
      <c r="F155" s="80"/>
      <c r="G155" s="280"/>
      <c r="H155" s="11"/>
      <c r="I155" s="2">
        <f>+I154</f>
        <v>13199.619999999999</v>
      </c>
      <c r="J155" s="2">
        <f>+J154+I155</f>
        <v>21349.62</v>
      </c>
      <c r="K155" s="2">
        <f t="shared" ref="K155:AM155" si="36">+K154+J155</f>
        <v>23725.52</v>
      </c>
      <c r="L155" s="2">
        <f t="shared" si="36"/>
        <v>23748.510000000002</v>
      </c>
      <c r="M155" s="2">
        <f t="shared" si="36"/>
        <v>36130.47</v>
      </c>
      <c r="N155" s="2">
        <f t="shared" si="36"/>
        <v>51175.06</v>
      </c>
      <c r="O155" s="2">
        <f t="shared" si="36"/>
        <v>57579.47</v>
      </c>
      <c r="P155" s="2">
        <f t="shared" si="36"/>
        <v>68185.52</v>
      </c>
      <c r="Q155" s="2">
        <f t="shared" si="36"/>
        <v>77159.87</v>
      </c>
      <c r="R155" s="2">
        <f t="shared" si="36"/>
        <v>79745.489999999991</v>
      </c>
      <c r="S155" s="2">
        <f t="shared" si="36"/>
        <v>89345.209999999992</v>
      </c>
      <c r="T155" s="2">
        <f t="shared" si="36"/>
        <v>96404.849999999991</v>
      </c>
      <c r="U155" s="2">
        <f t="shared" si="36"/>
        <v>99223.29</v>
      </c>
      <c r="V155" s="2">
        <f t="shared" si="36"/>
        <v>99223.29</v>
      </c>
      <c r="W155" s="2">
        <f t="shared" si="36"/>
        <v>112529.37</v>
      </c>
      <c r="X155" s="2">
        <f t="shared" si="36"/>
        <v>112529.37</v>
      </c>
      <c r="Y155" s="2">
        <f t="shared" si="36"/>
        <v>113539.37</v>
      </c>
      <c r="Z155" s="2">
        <f t="shared" si="36"/>
        <v>113539.37</v>
      </c>
      <c r="AA155" s="2">
        <f t="shared" si="36"/>
        <v>120439.37</v>
      </c>
      <c r="AB155" s="2">
        <f t="shared" si="36"/>
        <v>134659.37</v>
      </c>
      <c r="AC155" s="2">
        <f t="shared" si="36"/>
        <v>134659.37</v>
      </c>
      <c r="AD155" s="2">
        <f t="shared" si="36"/>
        <v>134756.35999999999</v>
      </c>
      <c r="AE155" s="2">
        <f t="shared" si="36"/>
        <v>139133.43999999997</v>
      </c>
      <c r="AF155" s="2">
        <f t="shared" si="36"/>
        <v>139133.43999999997</v>
      </c>
      <c r="AG155" s="2">
        <f t="shared" si="36"/>
        <v>144679.59999999998</v>
      </c>
      <c r="AH155" s="2">
        <f t="shared" si="36"/>
        <v>157689.72999999998</v>
      </c>
      <c r="AI155" s="2">
        <f t="shared" si="36"/>
        <v>158213.79999999999</v>
      </c>
      <c r="AJ155" s="2">
        <f t="shared" si="36"/>
        <v>165553.65</v>
      </c>
      <c r="AK155" s="2">
        <f t="shared" si="36"/>
        <v>165553.65</v>
      </c>
      <c r="AL155" s="2">
        <f t="shared" si="36"/>
        <v>171017.60000000001</v>
      </c>
      <c r="AM155" s="2">
        <f t="shared" si="36"/>
        <v>171017.60000000001</v>
      </c>
      <c r="AN155" s="191"/>
      <c r="AO155" s="191"/>
    </row>
    <row r="156" spans="1:41" ht="15.75" customHeight="1" x14ac:dyDescent="0.25">
      <c r="A156" s="172" t="s">
        <v>72</v>
      </c>
      <c r="B156" s="181">
        <f>+SUM(I156:AM156)</f>
        <v>9200.14</v>
      </c>
      <c r="C156" s="174"/>
      <c r="D156" s="181">
        <f>+SUM(D5:D153)/2</f>
        <v>9200.14</v>
      </c>
      <c r="E156" s="177"/>
      <c r="F156" s="176"/>
      <c r="G156" s="175"/>
      <c r="H156" s="11"/>
      <c r="I156" s="178">
        <f>+SUM(I5:I25,I28:I43,I46:I66,I69:I88,I91:I97,I100:I103,I106:I111,I114:I121,I124:I130,I133:I137,I140:I152)</f>
        <v>0</v>
      </c>
      <c r="J156" s="178">
        <f>+SUM(J5:J25,J28:J43,J46:J66,J69:J88,J91:J97,J100:J103,J106:J111,J114:J121,J124:J130,J133:J137,J140:J152)</f>
        <v>6650</v>
      </c>
      <c r="K156" s="178">
        <f>+SUM(K5:K25,K28:K43,K46:K66,K69:K88,K91:K97,K100:K103,K106:K111,K114:K121,K124:K130,K133:K137,K140:K152)</f>
        <v>0</v>
      </c>
      <c r="L156" s="178">
        <f>+SUM(L5:L25,L28:L43,L46:L66,L69:L88,L91:L97,L100:L103,L106:L111,L114:L121,L124:L130,L133:L137,L140:L152)</f>
        <v>0</v>
      </c>
      <c r="M156" s="178">
        <f>+SUM(M5:M25,M28:M43,M46:M66,M69:M88,M91:M97,M100:M103,M106:M111,M114:M121,M124:M130,M133:M137,M140:M152)</f>
        <v>0</v>
      </c>
      <c r="N156" s="178">
        <f>+SUM(N5:N25,N28:N43,N46:N66,N69:N88,N91:N97,N100:N103,N106:N111,N114:N121,N124:N130,N133:N137,N140:N152)</f>
        <v>0</v>
      </c>
      <c r="O156" s="178">
        <f>+SUM(O5:O25,O28:O43,O46:O66,O69:O88,O91:O97,O100:O103,O106:O111,O114:O121,O124:O130,O133:O137,O140:O152)</f>
        <v>0</v>
      </c>
      <c r="P156" s="178">
        <f>+SUM(P5:P25,P28:P43,P46:P66,P69:P88,P91:P97,P100:P103,P106:P111,P114:P121,P124:P130,P133:P137,P140:P152)</f>
        <v>0</v>
      </c>
      <c r="Q156" s="178">
        <f>+SUM(Q5:Q25,Q28:Q43,Q46:Q66,Q69:Q88,Q91:Q97,Q100:Q103,Q106:Q111,Q114:Q121,Q124:Q130,Q133:Q137,Q140:Q152)</f>
        <v>0</v>
      </c>
      <c r="R156" s="178">
        <f>+SUM(R5:R25,R28:R43,R46:R66,R69:R88,R91:R97,R100:R103,R106:R111,R114:R121,R124:R130,R133:R137,R140:R152)</f>
        <v>770.07</v>
      </c>
      <c r="S156" s="178">
        <f>+SUM(S5:S25,S28:S43,S46:S66,S69:S88,S91:S97,S100:S103,S106:S111,S114:S121,S124:S130,S133:S137,S140:S152)</f>
        <v>0</v>
      </c>
      <c r="T156" s="178">
        <f>+SUM(T5:T25,T28:T43,T46:T66,T69:T88,T91:T97,T100:T103,T106:T111,T114:T121,T124:T130,T133:T137,T140:T152)</f>
        <v>1780.0700000000002</v>
      </c>
      <c r="U156" s="178">
        <f>+SUM(U5:U25,U28:U43,U46:U66,U69:U88,U91:U97,U100:U103,U106:U111,U114:U121,U124:U130,U133:U137,U140:U152)</f>
        <v>0</v>
      </c>
      <c r="V156" s="178">
        <f>+SUM(V5:V25,V28:V43,V46:V66,V69:V88,V91:V97,V100:V103,V106:V111,V114:V121,V124:V130,V133:V137,V140:V152)</f>
        <v>0</v>
      </c>
      <c r="W156" s="178">
        <f>+SUM(W5:W25,W28:W43,W46:W66,W69:W88,W91:W97,W100:W103,W106:W111,W114:W121,W124:W130,W133:W137,W140:W152)</f>
        <v>0</v>
      </c>
      <c r="X156" s="178">
        <f>+SUM(X5:X25,X28:X43,X46:X66,X69:X88,X91:X97,X100:X103,X106:X111,X114:X121,X124:X130,X133:X137,X140:X152)</f>
        <v>0</v>
      </c>
      <c r="Y156" s="178">
        <f>+SUM(Y5:Y25,Y28:Y43,Y46:Y66,Y69:Y88,Y91:Y97,Y100:Y103,Y106:Y111,Y114:Y121,Y124:Y130,Y133:Y137,Y140:Y152)</f>
        <v>0</v>
      </c>
      <c r="Z156" s="178">
        <f>+SUM(Z5:Z25,Z28:Z43,Z46:Z66,Z69:Z88,Z91:Z97,Z100:Z103,Z106:Z111,Z114:Z121,Z124:Z130,Z133:Z137,Z140:Z152)</f>
        <v>0</v>
      </c>
      <c r="AA156" s="178">
        <f>+SUM(AA5:AA25,AA28:AA43,AA46:AA66,AA69:AA88,AA91:AA97,AA100:AA103,AA106:AA111,AA114:AA121,AA124:AA130,AA133:AA137,AA140:AA152)</f>
        <v>0</v>
      </c>
      <c r="AB156" s="178">
        <f>+SUM(AB5:AB25,AB28:AB43,AB46:AB66,AB69:AB88,AB91:AB97,AB100:AB103,AB106:AB111,AB114:AB121,AB124:AB130,AB133:AB137,AB140:AB152)</f>
        <v>0</v>
      </c>
      <c r="AC156" s="178">
        <f>+SUM(AC5:AC25,AC28:AC43,AC46:AC66,AC69:AC88,AC91:AC97,AC100:AC103,AC106:AC111,AC114:AC121,AC124:AC130,AC133:AC137,AC140:AC152)</f>
        <v>0</v>
      </c>
      <c r="AD156" s="178">
        <f>+SUM(AD5:AD25,AD28:AD43,AD46:AD66,AD69:AD88,AD91:AD97,AD100:AD103,AD106:AD111,AD114:AD121,AD124:AD130,AD133:AD137,AD140:AD152)</f>
        <v>0</v>
      </c>
      <c r="AE156" s="178">
        <f>+SUM(AE5:AE25,AE28:AE43,AE46:AE66,AE69:AE88,AE91:AE97,AE100:AE103,AE106:AE111,AE114:AE121,AE124:AE130,AE133:AE137,AE140:AE152)</f>
        <v>0</v>
      </c>
      <c r="AF156" s="178">
        <f>+SUM(AF5:AF25,AF28:AF43,AF46:AF66,AF69:AF88,AF91:AF97,AF100:AF103,AF106:AF111,AF114:AF121,AF124:AF130,AF133:AF137,AF140:AF152)</f>
        <v>0</v>
      </c>
      <c r="AG156" s="178">
        <f>+SUM(AG5:AG25,AG28:AG43,AG46:AG66,AG69:AG88,AG91:AG97,AG100:AG103,AG106:AG111,AG114:AG121,AG124:AG130,AG133:AG137,AG140:AG152)</f>
        <v>0</v>
      </c>
      <c r="AH156" s="178">
        <f>+SUM(AH5:AH25,AH28:AH43,AH46:AH66,AH69:AH88,AH91:AH97,AH100:AH103,AH106:AH111,AH114:AH121,AH124:AH130,AH133:AH137,AH140:AH152)</f>
        <v>0</v>
      </c>
      <c r="AI156" s="178">
        <f>+SUM(AI5:AI25,AI28:AI43,AI46:AI66,AI69:AI88,AI91:AI97,AI100:AI103,AI106:AI111,AI114:AI121,AI124:AI130,AI133:AI137,AI140:AI152)</f>
        <v>0</v>
      </c>
      <c r="AJ156" s="178">
        <f>+SUM(AJ5:AJ25,AJ28:AJ43,AJ46:AJ66,AJ69:AJ88,AJ91:AJ97,AJ100:AJ103,AJ106:AJ111,AJ114:AJ121,AJ124:AJ130,AJ133:AJ137,AJ140:AJ152)</f>
        <v>0</v>
      </c>
      <c r="AK156" s="178">
        <f>+SUM(AK5:AK25,AK28:AK43,AK46:AK66,AK69:AK88,AK91:AK97,AK100:AK103,AK106:AK111,AK114:AK121,AK124:AK130,AK133:AK137,AK140:AK152)</f>
        <v>0</v>
      </c>
      <c r="AL156" s="178">
        <f>+SUM(AL5:AL25,AL28:AL43,AL46:AL66,AL69:AL88,AL91:AL97,AL100:AL103,AL106:AL111,AL114:AL121,AL124:AL130,AL133:AL137,AL140:AL152)</f>
        <v>0</v>
      </c>
      <c r="AM156" s="178">
        <f>+SUM(AM5:AM25,AM28:AM43,AM46:AM66,AM69:AM88,AM91:AM97,AM100:AM103,AM106:AM111,AM114:AM121,AM124:AM130,AM133:AM137,AM140:AM152)</f>
        <v>0</v>
      </c>
      <c r="AN156" s="191"/>
      <c r="AO156" s="191"/>
    </row>
    <row r="157" spans="1:41" ht="15.75" customHeight="1" thickBot="1" x14ac:dyDescent="0.3">
      <c r="A157" s="172" t="s">
        <v>73</v>
      </c>
      <c r="B157" s="173"/>
      <c r="C157" s="174"/>
      <c r="D157" s="181">
        <f>+SUM(D5:D153)/2</f>
        <v>9200.14</v>
      </c>
      <c r="E157" s="174"/>
      <c r="F157" s="199"/>
      <c r="G157" s="201"/>
      <c r="H157" s="11"/>
      <c r="I157" s="178">
        <f>+I156</f>
        <v>0</v>
      </c>
      <c r="J157" s="178">
        <f>+I157+J156</f>
        <v>6650</v>
      </c>
      <c r="K157" s="178">
        <f t="shared" ref="K157:AM157" si="37">+J157+K156</f>
        <v>6650</v>
      </c>
      <c r="L157" s="178">
        <f t="shared" si="37"/>
        <v>6650</v>
      </c>
      <c r="M157" s="178">
        <f t="shared" si="37"/>
        <v>6650</v>
      </c>
      <c r="N157" s="178">
        <f t="shared" si="37"/>
        <v>6650</v>
      </c>
      <c r="O157" s="178">
        <f t="shared" si="37"/>
        <v>6650</v>
      </c>
      <c r="P157" s="178">
        <f t="shared" si="37"/>
        <v>6650</v>
      </c>
      <c r="Q157" s="178">
        <f t="shared" si="37"/>
        <v>6650</v>
      </c>
      <c r="R157" s="178">
        <f t="shared" si="37"/>
        <v>7420.07</v>
      </c>
      <c r="S157" s="178">
        <f t="shared" si="37"/>
        <v>7420.07</v>
      </c>
      <c r="T157" s="178">
        <f t="shared" si="37"/>
        <v>9200.14</v>
      </c>
      <c r="U157" s="178">
        <f t="shared" si="37"/>
        <v>9200.14</v>
      </c>
      <c r="V157" s="178">
        <f t="shared" si="37"/>
        <v>9200.14</v>
      </c>
      <c r="W157" s="178">
        <f t="shared" si="37"/>
        <v>9200.14</v>
      </c>
      <c r="X157" s="178">
        <f t="shared" si="37"/>
        <v>9200.14</v>
      </c>
      <c r="Y157" s="178">
        <f t="shared" si="37"/>
        <v>9200.14</v>
      </c>
      <c r="Z157" s="178">
        <f t="shared" si="37"/>
        <v>9200.14</v>
      </c>
      <c r="AA157" s="178">
        <f t="shared" si="37"/>
        <v>9200.14</v>
      </c>
      <c r="AB157" s="178">
        <f t="shared" si="37"/>
        <v>9200.14</v>
      </c>
      <c r="AC157" s="178">
        <f t="shared" si="37"/>
        <v>9200.14</v>
      </c>
      <c r="AD157" s="178">
        <f t="shared" si="37"/>
        <v>9200.14</v>
      </c>
      <c r="AE157" s="178">
        <f t="shared" si="37"/>
        <v>9200.14</v>
      </c>
      <c r="AF157" s="178">
        <f t="shared" si="37"/>
        <v>9200.14</v>
      </c>
      <c r="AG157" s="178">
        <f t="shared" si="37"/>
        <v>9200.14</v>
      </c>
      <c r="AH157" s="178">
        <f t="shared" si="37"/>
        <v>9200.14</v>
      </c>
      <c r="AI157" s="178">
        <f t="shared" si="37"/>
        <v>9200.14</v>
      </c>
      <c r="AJ157" s="178">
        <f t="shared" si="37"/>
        <v>9200.14</v>
      </c>
      <c r="AK157" s="178">
        <f t="shared" si="37"/>
        <v>9200.14</v>
      </c>
      <c r="AL157" s="178">
        <f t="shared" si="37"/>
        <v>9200.14</v>
      </c>
      <c r="AM157" s="178">
        <f t="shared" si="37"/>
        <v>9200.14</v>
      </c>
      <c r="AN157" s="191"/>
      <c r="AO157" s="191"/>
    </row>
    <row r="158" spans="1:41" ht="15" customHeight="1" thickTop="1" thickBot="1" x14ac:dyDescent="0.3">
      <c r="A158" s="185" t="s">
        <v>39</v>
      </c>
      <c r="B158" s="197" t="s">
        <v>79</v>
      </c>
      <c r="C158" s="206" t="s">
        <v>80</v>
      </c>
      <c r="D158" s="205" t="s">
        <v>220</v>
      </c>
      <c r="E158" s="218">
        <v>0.4</v>
      </c>
      <c r="F158" s="204" t="s">
        <v>132</v>
      </c>
      <c r="G158" s="219">
        <v>0</v>
      </c>
      <c r="H158" s="200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  <c r="AA158" s="183"/>
      <c r="AB158" s="183"/>
      <c r="AC158" s="183"/>
      <c r="AD158" s="183"/>
      <c r="AE158" s="183"/>
      <c r="AF158" s="183"/>
      <c r="AG158" s="183"/>
      <c r="AH158" s="183"/>
      <c r="AI158" s="183"/>
      <c r="AJ158" s="183"/>
      <c r="AK158" s="183"/>
      <c r="AL158" s="183"/>
      <c r="AM158" s="184"/>
      <c r="AN158" s="191"/>
      <c r="AO158" s="191"/>
    </row>
    <row r="159" spans="1:41" ht="16.5" customHeight="1" thickTop="1" thickBot="1" x14ac:dyDescent="0.3">
      <c r="A159" s="192" t="s">
        <v>81</v>
      </c>
      <c r="B159" s="198">
        <f>+PLAN2!B158</f>
        <v>216000</v>
      </c>
      <c r="C159" s="217" t="s">
        <v>145</v>
      </c>
      <c r="D159" s="214">
        <v>9000</v>
      </c>
      <c r="E159" s="202" t="s">
        <v>82</v>
      </c>
      <c r="F159" s="203" t="s">
        <v>77</v>
      </c>
      <c r="G159" s="193"/>
      <c r="H159" s="113"/>
      <c r="I159" s="111">
        <f>IF($C$159="S",IF(PLAN2!H171=6,0,IF(PLAN2!H171=7,0,IF(PLAN2!H171=1,$D$159+$D$159*(DESP_JANEIRO!$G$158+DESP_JANEIRO!$E$158),$D$159))),PLAN2!H158)</f>
        <v>9000</v>
      </c>
      <c r="J159" s="111">
        <f>IF($C$159="S",IF(PLAN2!I171=6,0,IF(PLAN2!I171=7,0,IF(PLAN2!I171=1,$D$159+$D$159*(DESP_JANEIRO!$G$158+DESP_JANEIRO!$E$158),$D$159))),PLAN2!I158)</f>
        <v>9000</v>
      </c>
      <c r="K159" s="111">
        <f>IF($C$159="S",IF(PLAN2!J171=6,0,IF(PLAN2!J171=7,0,IF(PLAN2!J171=1,$D$159+$D$159*(DESP_JANEIRO!$G$158+DESP_JANEIRO!$E$158),$D$159))),PLAN2!J158)</f>
        <v>0</v>
      </c>
      <c r="L159" s="111">
        <f>IF($C$159="S",IF(PLAN2!K171=6,0,IF(PLAN2!K171=7,0,IF(PLAN2!K171=1,$D$159+$D$159*(DESP_JANEIRO!$G$158+DESP_JANEIRO!$E$158),$D$159))),PLAN2!K158)</f>
        <v>0</v>
      </c>
      <c r="M159" s="111">
        <f>IF($C$159="S",IF(PLAN2!L171=6,0,IF(PLAN2!L171=7,0,IF(PLAN2!L171=1,$D$159+$D$159*(DESP_JANEIRO!$G$158+DESP_JANEIRO!$E$158),$D$159))),PLAN2!L158)</f>
        <v>12600</v>
      </c>
      <c r="N159" s="111">
        <f>IF($C$159="S",IF(PLAN2!M171=6,0,IF(PLAN2!M171=7,0,IF(PLAN2!M171=1,$D$159+$D$159*(DESP_JANEIRO!$G$158+DESP_JANEIRO!$E$158),$D$159))),PLAN2!M158)</f>
        <v>9000</v>
      </c>
      <c r="O159" s="111">
        <f>IF($C$159="S",IF(PLAN2!N171=6,0,IF(PLAN2!N171=7,0,IF(PLAN2!N171=1,$D$159+$D$159*(DESP_JANEIRO!$G$158+DESP_JANEIRO!$E$158),$D$159))),PLAN2!N158)</f>
        <v>9000</v>
      </c>
      <c r="P159" s="111">
        <f>IF($C$159="S",IF(PLAN2!O171=6,0,IF(PLAN2!O171=7,0,IF(PLAN2!O171=1,$D$159+$D$159*(DESP_JANEIRO!$G$158+DESP_JANEIRO!$E$158),$D$159))),PLAN2!O158)</f>
        <v>9000</v>
      </c>
      <c r="Q159" s="111">
        <f>IF($C$159="S",IF(PLAN2!P171=6,0,IF(PLAN2!P171=7,0,IF(PLAN2!P171=1,$D$159+$D$159*(DESP_JANEIRO!$G$158+DESP_JANEIRO!$E$158),$D$159))),PLAN2!P158)</f>
        <v>9000</v>
      </c>
      <c r="R159" s="111">
        <f>IF($C$159="S",IF(PLAN2!Q171=6,0,IF(PLAN2!Q171=7,0,IF(PLAN2!Q171=1,$D$159+$D$159*(DESP_JANEIRO!$G$158+DESP_JANEIRO!$E$158),$D$159))),PLAN2!Q158)</f>
        <v>0</v>
      </c>
      <c r="S159" s="111">
        <f>IF($C$159="S",IF(PLAN2!R171=6,0,IF(PLAN2!R171=7,0,IF(PLAN2!R171=1,$D$159+$D$159*(DESP_JANEIRO!$G$158+DESP_JANEIRO!$E$158),$D$159))),PLAN2!R158)</f>
        <v>0</v>
      </c>
      <c r="T159" s="111">
        <f>IF($C$159="S",IF(PLAN2!S171=6,0,IF(PLAN2!S171=7,0,IF(PLAN2!S171=1,$D$159+$D$159*(DESP_JANEIRO!$G$158+DESP_JANEIRO!$E$158),$D$159))),PLAN2!S158)</f>
        <v>12600</v>
      </c>
      <c r="U159" s="111">
        <f>IF($C$159="S",IF(PLAN2!T171=6,0,IF(PLAN2!T171=7,0,IF(PLAN2!T171=1,$D$159+$D$159*(DESP_JANEIRO!$G$158+DESP_JANEIRO!$E$158),$D$159))),PLAN2!T158)</f>
        <v>9000</v>
      </c>
      <c r="V159" s="111">
        <f>IF($C$159="S",IF(PLAN2!U171=6,0,IF(PLAN2!U171=7,0,IF(PLAN2!U171=1,$D$159+$D$159*(DESP_JANEIRO!$G$158+DESP_JANEIRO!$E$158),$D$159))),PLAN2!U158)</f>
        <v>9000</v>
      </c>
      <c r="W159" s="111">
        <f>IF($C$159="S",IF(PLAN2!V171=6,0,IF(PLAN2!V171=7,0,IF(PLAN2!V171=1,$D$159+$D$159*(DESP_JANEIRO!$G$158+DESP_JANEIRO!$E$158),$D$159))),PLAN2!V158)</f>
        <v>9000</v>
      </c>
      <c r="X159" s="111">
        <f>IF($C$159="S",IF(PLAN2!W171=6,0,IF(PLAN2!W171=7,0,IF(PLAN2!W171=1,$D$159+$D$159*(DESP_JANEIRO!$G$158+DESP_JANEIRO!$E$158),$D$159))),PLAN2!W158)</f>
        <v>9000</v>
      </c>
      <c r="Y159" s="111">
        <f>IF($C$159="S",IF(PLAN2!X171=6,0,IF(PLAN2!X171=7,0,IF(PLAN2!X171=1,$D$159+$D$159*(DESP_JANEIRO!$G$158+DESP_JANEIRO!$E$158),$D$159))),PLAN2!X158)</f>
        <v>0</v>
      </c>
      <c r="Z159" s="111">
        <f>IF($C$159="S",IF(PLAN2!Y171=6,0,IF(PLAN2!Y171=7,0,IF(PLAN2!Y171=1,$D$159+$D$159*(DESP_JANEIRO!$G$158+DESP_JANEIRO!$E$158),$D$159))),PLAN2!Y158)</f>
        <v>0</v>
      </c>
      <c r="AA159" s="111">
        <f>IF($C$159="S",IF(PLAN2!Z171=6,0,IF(PLAN2!Z171=7,0,IF(PLAN2!Z171=1,$D$159+$D$159*(DESP_JANEIRO!$G$158+DESP_JANEIRO!$E$158),$D$159))),PLAN2!Z158)</f>
        <v>12600</v>
      </c>
      <c r="AB159" s="111">
        <f>IF($C$159="S",IF(PLAN2!AA171=6,0,IF(PLAN2!AA171=7,0,IF(PLAN2!AA171=1,$D$159+$D$159*(DESP_JANEIRO!$G$158+DESP_JANEIRO!$E$158),$D$159))),PLAN2!AA158)</f>
        <v>9000</v>
      </c>
      <c r="AC159" s="111">
        <f>IF($C$159="S",IF(PLAN2!AB171=6,0,IF(PLAN2!AB171=7,0,IF(PLAN2!AB171=1,$D$159+$D$159*(DESP_JANEIRO!$G$158+DESP_JANEIRO!$E$158),$D$159))),PLAN2!AB158)</f>
        <v>9000</v>
      </c>
      <c r="AD159" s="111">
        <f>IF($C$159="S",IF(PLAN2!AC171=6,0,IF(PLAN2!AC171=7,0,IF(PLAN2!AC171=1,$D$159+$D$159*(DESP_JANEIRO!$G$158+DESP_JANEIRO!$E$158),$D$159))),PLAN2!AC158)</f>
        <v>9000</v>
      </c>
      <c r="AE159" s="111">
        <f>IF($C$159="S",IF(PLAN2!AD171=6,0,IF(PLAN2!AD171=7,0,IF(PLAN2!AD171=1,$D$159+$D$159*(DESP_JANEIRO!$G$158+DESP_JANEIRO!$E$158),$D$159))),PLAN2!AD158)</f>
        <v>9000</v>
      </c>
      <c r="AF159" s="111">
        <f>IF($C$159="S",IF(PLAN2!AE171=6,0,IF(PLAN2!AE171=7,0,IF(PLAN2!AE171=1,$D$159+$D$159*(DESP_JANEIRO!$G$158+DESP_JANEIRO!$E$158),$D$159))),PLAN2!AE158)</f>
        <v>0</v>
      </c>
      <c r="AG159" s="111">
        <f>IF($C$159="S",IF(PLAN2!AF171=6,0,IF(PLAN2!AF171=7,0,IF(PLAN2!AF171=1,$D$159+$D$159*(DESP_JANEIRO!$G$158+DESP_JANEIRO!$E$158),$D$159))),PLAN2!AF158)</f>
        <v>0</v>
      </c>
      <c r="AH159" s="111">
        <f>IF($C$159="S",IF(PLAN2!AG171=6,0,IF(PLAN2!AG171=7,0,IF(PLAN2!AG171=1,$D$159+$D$159*(DESP_JANEIRO!$G$158+DESP_JANEIRO!$E$158),$D$159))),PLAN2!AG158)</f>
        <v>12600</v>
      </c>
      <c r="AI159" s="111">
        <f>IF($C$159="S",IF(PLAN2!AH171=6,0,IF(PLAN2!AH171=7,0,IF(PLAN2!AH171=1,$D$159+$D$159*(DESP_JANEIRO!$G$158+DESP_JANEIRO!$E$158),$D$159))),PLAN2!AH158)</f>
        <v>9000</v>
      </c>
      <c r="AJ159" s="111">
        <f>IF($C$159="S",IF(PLAN2!AI171=6,0,IF(PLAN2!AI171=7,0,IF(PLAN2!AI171=1,$D$159+$D$159*(DESP_JANEIRO!$G$158+DESP_JANEIRO!$E$158),$D$159))),PLAN2!AI158)</f>
        <v>9000</v>
      </c>
      <c r="AK159" s="111">
        <f>IF($C$159="S",IF(PLAN2!AJ171=6,0,IF(PLAN2!AJ171=7,0,IF(PLAN2!AJ171=1,$D$159+$D$159*(DESP_JANEIRO!$G$158+DESP_JANEIRO!$E$158),$D$159))),PLAN2!AJ158)</f>
        <v>9000</v>
      </c>
      <c r="AL159" s="111">
        <f>IF($C$159="S",IF(PLAN2!AK171=6,0,IF(PLAN2!AK171=7,0,IF(PLAN2!AK171=1,$D$159+$D$159*(DESP_JANEIRO!$G$158+DESP_JANEIRO!$E$158),$D$159))),PLAN2!AK158)</f>
        <v>9000</v>
      </c>
      <c r="AM159" s="111">
        <f>IF($C$159="S",IF(PLAN2!AL171=6,0,IF(PLAN2!AL171=7,0,IF(PLAN2!AL171=1,$D$159+$D$159*(DESP_JANEIRO!$G$158+DESP_JANEIRO!$E$158),$D$159))),PLAN2!AL158)</f>
        <v>0</v>
      </c>
      <c r="AN159" s="191"/>
      <c r="AO159" s="191"/>
    </row>
    <row r="160" spans="1:41" ht="15.75" thickTop="1" x14ac:dyDescent="0.25">
      <c r="A160" s="212" t="s">
        <v>187</v>
      </c>
      <c r="B160" s="88">
        <v>5500</v>
      </c>
      <c r="C160" s="89">
        <v>3</v>
      </c>
      <c r="D160" s="100"/>
      <c r="E160" s="121"/>
      <c r="F160" s="84">
        <f ca="1">+IF(C160&gt;0,IF(C160-SUM(I$255:AM$255)&lt;0,B160-SUM(I160:AM160,0),0),0)+IF(C160=-1,B160-SUM(I160:AM160,0),0)</f>
        <v>5500</v>
      </c>
      <c r="G160" s="85"/>
      <c r="H160" s="114"/>
      <c r="I160" s="111">
        <f>+IF(I$2=$E160,$D160,IF(I$2&gt;I$257,0,IF($C160=I$2,"RECEBER"&amp;" "&amp;TEXT($B160," #.##0,00"),IF($C160=-1,"RECEBER"&amp;" "&amp;TEXT($B160," #.##0,00"),0))))</f>
        <v>0</v>
      </c>
      <c r="J160" s="111">
        <f>+IF(J$2=$E160,$D160,IF(J$2&gt;J$257,0,IF($C160=J$2,"RECEBER"&amp;" "&amp;TEXT($B160," #.##0,00"),0)))</f>
        <v>0</v>
      </c>
      <c r="K160" s="111" t="str">
        <f>+IF(K$2=$E160,$D160,IF(K$2&gt;K$257,0,IF($C160=K$2,"RECEBER"&amp;" "&amp;TEXT($B160," #.##0,00"),0)))</f>
        <v>RECEBER  5.500,00</v>
      </c>
      <c r="L160" s="111">
        <f>+IF(L$2=$E160,$D160,IF(L$2&gt;L$257,0,IF($C160=L$2,"RECEBER"&amp;" "&amp;TEXT($B160," #.##0,00"),0)))</f>
        <v>0</v>
      </c>
      <c r="M160" s="111">
        <f>+IF(M$2=$E160,$D160,IF(M$2&gt;M$257,0,IF($C160=M$2,"RECEBER"&amp;" "&amp;TEXT($B160," #.##0,00"),0)))</f>
        <v>0</v>
      </c>
      <c r="N160" s="111">
        <f>+IF(N$2=$E160,$D160,IF(N$2&gt;N$257,0,IF($C160=N$2,"RECEBER"&amp;" "&amp;TEXT($B160," #.##0,00"),0)))</f>
        <v>0</v>
      </c>
      <c r="O160" s="111">
        <f>+IF(O$2=$E160,$D160,IF(O$2&gt;O$257,0,IF($C160=O$2,"RECEBER"&amp;" "&amp;TEXT($B160," #.##0,00"),0)))</f>
        <v>0</v>
      </c>
      <c r="P160" s="111">
        <f>+IF(P$2=$E160,$D160,IF(P$2&gt;P$257,0,IF($C160=P$2,"RECEBER"&amp;" "&amp;TEXT($B160," #.##0,00"),0)))</f>
        <v>0</v>
      </c>
      <c r="Q160" s="111">
        <f>+IF(Q$2=$E160,$D160,IF(Q$2&gt;Q$257,0,IF($C160=Q$2,"RECEBER"&amp;" "&amp;TEXT($B160," #.##0,00"),0)))</f>
        <v>0</v>
      </c>
      <c r="R160" s="111">
        <f>+IF(R$2=$E160,$D160,IF(R$2&gt;R$257,0,IF($C160=R$2,"RECEBER"&amp;" "&amp;TEXT($B160," #.##0,00"),0)))</f>
        <v>0</v>
      </c>
      <c r="S160" s="111">
        <f>+IF(S$2=$E160,$D160,IF(S$2&gt;S$257,0,IF($C160=S$2,"RECEBER"&amp;" "&amp;TEXT($B160," #.##0,00"),0)))</f>
        <v>0</v>
      </c>
      <c r="T160" s="111">
        <f>+IF(T$2=$E160,$D160,IF(T$2&gt;T$257,0,IF($C160=T$2,"RECEBER"&amp;" "&amp;TEXT($B160," #.##0,00"),0)))</f>
        <v>0</v>
      </c>
      <c r="U160" s="111">
        <f>+IF(U$2=$E160,$D160,IF(U$2&gt;U$257,0,IF($C160=U$2,"RECEBER"&amp;" "&amp;TEXT($B160," #.##0,00"),0)))</f>
        <v>0</v>
      </c>
      <c r="V160" s="111">
        <f>+IF(V$2=$E160,$D160,IF(V$2&gt;V$257,0,IF($C160=V$2,"RECEBER"&amp;" "&amp;TEXT($B160," #.##0,00"),0)))</f>
        <v>0</v>
      </c>
      <c r="W160" s="111">
        <f>+IF(W$2=$E160,$D160,IF(W$2&gt;W$257,0,IF($C160=W$2,"RECEBER"&amp;" "&amp;TEXT($B160," #.##0,00"),0)))</f>
        <v>0</v>
      </c>
      <c r="X160" s="111">
        <f>+IF(X$2=$E160,$D160,IF(X$2&gt;X$257,0,IF($C160=X$2,"RECEBER"&amp;" "&amp;TEXT($B160," #.##0,00"),0)))</f>
        <v>0</v>
      </c>
      <c r="Y160" s="111">
        <f>+IF(Y$2=$E160,$D160,IF(Y$2&gt;Y$257,0,IF($C160=Y$2,"RECEBER"&amp;" "&amp;TEXT($B160," #.##0,00"),0)))</f>
        <v>0</v>
      </c>
      <c r="Z160" s="111">
        <f>+IF(Z$2=$E160,$D160,IF(Z$2&gt;Z$257,0,IF($C160=Z$2,"RECEBER"&amp;" "&amp;TEXT($B160," #.##0,00"),0)))</f>
        <v>0</v>
      </c>
      <c r="AA160" s="111">
        <f>+IF(AA$2=$E160,$D160,IF(AA$2&gt;AA$257,0,IF($C160=AA$2,"RECEBER"&amp;" "&amp;TEXT($B160," #.##0,00"),0)))</f>
        <v>0</v>
      </c>
      <c r="AB160" s="111">
        <f>+IF(AB$2=$E160,$D160,IF(AB$2&gt;AB$257,0,IF($C160=AB$2,"RECEBER"&amp;" "&amp;TEXT($B160," #.##0,00"),0)))</f>
        <v>0</v>
      </c>
      <c r="AC160" s="111">
        <f>+IF(AC$2=$E160,$D160,IF(AC$2&gt;AC$257,0,IF($C160=AC$2,"RECEBER"&amp;" "&amp;TEXT($B160," #.##0,00"),0)))</f>
        <v>0</v>
      </c>
      <c r="AD160" s="111">
        <f>+IF(AD$2=$E160,$D160,IF(AD$2&gt;AD$257,0,IF($C160=AD$2,"RECEBER"&amp;" "&amp;TEXT($B160," #.##0,00"),0)))</f>
        <v>0</v>
      </c>
      <c r="AE160" s="111">
        <f>+IF(AE$2=$E160,$D160,IF(AE$2&gt;AE$257,0,IF($C160=AE$2,"RECEBER"&amp;" "&amp;TEXT($B160," #.##0,00"),0)))</f>
        <v>0</v>
      </c>
      <c r="AF160" s="111">
        <f>+IF(AF$2=$E160,$D160,IF(AF$2&gt;AF$257,0,IF($C160=AF$2,"RECEBER"&amp;" "&amp;TEXT($B160," #.##0,00"),0)))</f>
        <v>0</v>
      </c>
      <c r="AG160" s="111">
        <f>+IF(AG$2=$E160,$D160,IF(AG$2&gt;AG$257,0,IF($C160=AG$2,"RECEBER"&amp;" "&amp;TEXT($B160," #.##0,00"),0)))</f>
        <v>0</v>
      </c>
      <c r="AH160" s="111">
        <f>+IF(AH$2=$E160,$D160,IF(AH$2&gt;AH$257,0,IF($C160=AH$2,"RECEBER"&amp;" "&amp;TEXT($B160," #.##0,00"),0)))</f>
        <v>0</v>
      </c>
      <c r="AI160" s="111">
        <f>+IF(AI$2=$E160,$D160,IF(AI$2&gt;AI$257,0,IF($C160=AI$2,"RECEBER"&amp;" "&amp;TEXT($B160," #.##0,00"),0)))</f>
        <v>0</v>
      </c>
      <c r="AJ160" s="111">
        <f>+IF(AJ$2=$E160,$D160,IF(AJ$2&gt;AJ$257,0,IF($C160=AJ$2,"RECEBER"&amp;" "&amp;TEXT($B160," #.##0,00"),0)))</f>
        <v>0</v>
      </c>
      <c r="AK160" s="111">
        <f>+IF(AK$2=$E160,$D160,IF(AK$2&gt;AK$257,0,IF($C160=AK$2,"RECEBER"&amp;" "&amp;TEXT($B160," #.##0,00"),0)))</f>
        <v>0</v>
      </c>
      <c r="AL160" s="111">
        <f>+IF(AL$2=$E160,$D160,IF(AL$2&gt;AL$257,0,IF($C160=AL$2,"RECEBER"&amp;" "&amp;TEXT($B160," #.##0,00"),0)))</f>
        <v>0</v>
      </c>
      <c r="AM160" s="111">
        <f>+IF(AM$2=$E160,$D160,IF(AM$2&gt;AM$257,0,IF($C160=AM$2,"RECEBER"&amp;" "&amp;TEXT($B160," #.##0,00"),0)))</f>
        <v>0</v>
      </c>
      <c r="AN160" s="191"/>
      <c r="AO160" s="191"/>
    </row>
    <row r="161" spans="1:41" x14ac:dyDescent="0.25">
      <c r="A161" s="212" t="s">
        <v>188</v>
      </c>
      <c r="B161" s="90">
        <v>5100</v>
      </c>
      <c r="C161" s="91">
        <v>3</v>
      </c>
      <c r="D161" s="97"/>
      <c r="E161" s="121"/>
      <c r="F161" s="84">
        <f t="shared" ref="F161:F168" ca="1" si="38">+IF(C161&gt;0,IF(C161-SUM(I$255:AM$255)&lt;0,B161-SUM(I161:AM161,0),0),0)+IF(C161=-1,B161-SUM(I161:AM161,0),0)</f>
        <v>5100</v>
      </c>
      <c r="G161" s="86"/>
      <c r="H161" s="114"/>
      <c r="I161" s="111">
        <f>+IF(I$2=$E161,$D161,IF(I$2&gt;I$257,0,IF($C161=I$2,"RECEBER"&amp;" "&amp;TEXT($B161," #.##0,00"),IF($C161=-1,"RECEBER"&amp;" "&amp;TEXT($B161," #.##0,00"),0))))</f>
        <v>0</v>
      </c>
      <c r="J161" s="111">
        <f>+IF(J$2=$E161,$D161,IF(J$2&gt;J$257,0,IF($C161=J$2,"RECEBER"&amp;" "&amp;TEXT($B161," #.##0,00"),0)))</f>
        <v>0</v>
      </c>
      <c r="K161" s="111" t="str">
        <f>+IF(K$2=$E161,$D161,IF(K$2&gt;K$257,0,IF($C161=K$2,"RECEBER"&amp;" "&amp;TEXT($B161," #.##0,00"),0)))</f>
        <v>RECEBER  5.100,00</v>
      </c>
      <c r="L161" s="111">
        <f>+IF(L$2=$E161,$D161,IF(L$2&gt;L$257,0,IF($C161=L$2,"RECEBER"&amp;" "&amp;TEXT($B161," #.##0,00"),0)))</f>
        <v>0</v>
      </c>
      <c r="M161" s="111">
        <f>+IF(M$2=$E161,$D161,IF(M$2&gt;M$257,0,IF($C161=M$2,"RECEBER"&amp;" "&amp;TEXT($B161," #.##0,00"),0)))</f>
        <v>0</v>
      </c>
      <c r="N161" s="111">
        <f>+IF(N$2=$E161,$D161,IF(N$2&gt;N$257,0,IF($C161=N$2,"RECEBER"&amp;" "&amp;TEXT($B161," #.##0,00"),0)))</f>
        <v>0</v>
      </c>
      <c r="O161" s="111">
        <f>+IF(O$2=$E161,$D161,IF(O$2&gt;O$257,0,IF($C161=O$2,"RECEBER"&amp;" "&amp;TEXT($B161," #.##0,00"),0)))</f>
        <v>0</v>
      </c>
      <c r="P161" s="111">
        <f>+IF(P$2=$E161,$D161,IF(P$2&gt;P$257,0,IF($C161=P$2,"RECEBER"&amp;" "&amp;TEXT($B161," #.##0,00"),0)))</f>
        <v>0</v>
      </c>
      <c r="Q161" s="111">
        <f>+IF(Q$2=$E161,$D161,IF(Q$2&gt;Q$257,0,IF($C161=Q$2,"RECEBER"&amp;" "&amp;TEXT($B161," #.##0,00"),0)))</f>
        <v>0</v>
      </c>
      <c r="R161" s="111">
        <f>+IF(R$2=$E161,$D161,IF(R$2&gt;R$257,0,IF($C161=R$2,"RECEBER"&amp;" "&amp;TEXT($B161," #.##0,00"),0)))</f>
        <v>0</v>
      </c>
      <c r="S161" s="111">
        <f>+IF(S$2=$E161,$D161,IF(S$2&gt;S$257,0,IF($C161=S$2,"RECEBER"&amp;" "&amp;TEXT($B161," #.##0,00"),0)))</f>
        <v>0</v>
      </c>
      <c r="T161" s="111">
        <f>+IF(T$2=$E161,$D161,IF(T$2&gt;T$257,0,IF($C161=T$2,"RECEBER"&amp;" "&amp;TEXT($B161," #.##0,00"),0)))</f>
        <v>0</v>
      </c>
      <c r="U161" s="111">
        <f>+IF(U$2=$E161,$D161,IF(U$2&gt;U$257,0,IF($C161=U$2,"RECEBER"&amp;" "&amp;TEXT($B161," #.##0,00"),0)))</f>
        <v>0</v>
      </c>
      <c r="V161" s="111">
        <f>+IF(V$2=$E161,$D161,IF(V$2&gt;V$257,0,IF($C161=V$2,"RECEBER"&amp;" "&amp;TEXT($B161," #.##0,00"),0)))</f>
        <v>0</v>
      </c>
      <c r="W161" s="111">
        <f>+IF(W$2=$E161,$D161,IF(W$2&gt;W$257,0,IF($C161=W$2,"RECEBER"&amp;" "&amp;TEXT($B161," #.##0,00"),0)))</f>
        <v>0</v>
      </c>
      <c r="X161" s="111">
        <f>+IF(X$2=$E161,$D161,IF(X$2&gt;X$257,0,IF($C161=X$2,"RECEBER"&amp;" "&amp;TEXT($B161," #.##0,00"),0)))</f>
        <v>0</v>
      </c>
      <c r="Y161" s="111">
        <f>+IF(Y$2=$E161,$D161,IF(Y$2&gt;Y$257,0,IF($C161=Y$2,"RECEBER"&amp;" "&amp;TEXT($B161," #.##0,00"),0)))</f>
        <v>0</v>
      </c>
      <c r="Z161" s="111">
        <f>+IF(Z$2=$E161,$D161,IF(Z$2&gt;Z$257,0,IF($C161=Z$2,"RECEBER"&amp;" "&amp;TEXT($B161," #.##0,00"),0)))</f>
        <v>0</v>
      </c>
      <c r="AA161" s="111">
        <f>+IF(AA$2=$E161,$D161,IF(AA$2&gt;AA$257,0,IF($C161=AA$2,"RECEBER"&amp;" "&amp;TEXT($B161," #.##0,00"),0)))</f>
        <v>0</v>
      </c>
      <c r="AB161" s="111">
        <f>+IF(AB$2=$E161,$D161,IF(AB$2&gt;AB$257,0,IF($C161=AB$2,"RECEBER"&amp;" "&amp;TEXT($B161," #.##0,00"),0)))</f>
        <v>0</v>
      </c>
      <c r="AC161" s="111">
        <f>+IF(AC$2=$E161,$D161,IF(AC$2&gt;AC$257,0,IF($C161=AC$2,"RECEBER"&amp;" "&amp;TEXT($B161," #.##0,00"),0)))</f>
        <v>0</v>
      </c>
      <c r="AD161" s="111">
        <f>+IF(AD$2=$E161,$D161,IF(AD$2&gt;AD$257,0,IF($C161=AD$2,"RECEBER"&amp;" "&amp;TEXT($B161," #.##0,00"),0)))</f>
        <v>0</v>
      </c>
      <c r="AE161" s="111">
        <f>+IF(AE$2=$E161,$D161,IF(AE$2&gt;AE$257,0,IF($C161=AE$2,"RECEBER"&amp;" "&amp;TEXT($B161," #.##0,00"),0)))</f>
        <v>0</v>
      </c>
      <c r="AF161" s="111">
        <f>+IF(AF$2=$E161,$D161,IF(AF$2&gt;AF$257,0,IF($C161=AF$2,"RECEBER"&amp;" "&amp;TEXT($B161," #.##0,00"),0)))</f>
        <v>0</v>
      </c>
      <c r="AG161" s="111">
        <f>+IF(AG$2=$E161,$D161,IF(AG$2&gt;AG$257,0,IF($C161=AG$2,"RECEBER"&amp;" "&amp;TEXT($B161," #.##0,00"),0)))</f>
        <v>0</v>
      </c>
      <c r="AH161" s="111">
        <f>+IF(AH$2=$E161,$D161,IF(AH$2&gt;AH$257,0,IF($C161=AH$2,"RECEBER"&amp;" "&amp;TEXT($B161," #.##0,00"),0)))</f>
        <v>0</v>
      </c>
      <c r="AI161" s="111">
        <f>+IF(AI$2=$E161,$D161,IF(AI$2&gt;AI$257,0,IF($C161=AI$2,"RECEBER"&amp;" "&amp;TEXT($B161," #.##0,00"),0)))</f>
        <v>0</v>
      </c>
      <c r="AJ161" s="111">
        <f>+IF(AJ$2=$E161,$D161,IF(AJ$2&gt;AJ$257,0,IF($C161=AJ$2,"RECEBER"&amp;" "&amp;TEXT($B161," #.##0,00"),0)))</f>
        <v>0</v>
      </c>
      <c r="AK161" s="111">
        <f>+IF(AK$2=$E161,$D161,IF(AK$2&gt;AK$257,0,IF($C161=AK$2,"RECEBER"&amp;" "&amp;TEXT($B161," #.##0,00"),0)))</f>
        <v>0</v>
      </c>
      <c r="AL161" s="111">
        <f>+IF(AL$2=$E161,$D161,IF(AL$2&gt;AL$257,0,IF($C161=AL$2,"RECEBER"&amp;" "&amp;TEXT($B161," #.##0,00"),0)))</f>
        <v>0</v>
      </c>
      <c r="AM161" s="111">
        <f>+IF(AM$2=$E161,$D161,IF(AM$2&gt;AM$257,0,IF($C161=AM$2,"RECEBER"&amp;" "&amp;TEXT($B161," #.##0,00"),0)))</f>
        <v>0</v>
      </c>
      <c r="AN161" s="191"/>
      <c r="AO161" s="191"/>
    </row>
    <row r="162" spans="1:41" x14ac:dyDescent="0.25">
      <c r="A162" s="212"/>
      <c r="B162" s="90"/>
      <c r="C162" s="91"/>
      <c r="D162" s="97"/>
      <c r="E162" s="121"/>
      <c r="F162" s="84">
        <f t="shared" si="38"/>
        <v>0</v>
      </c>
      <c r="G162" s="86"/>
      <c r="H162" s="114"/>
      <c r="I162" s="111">
        <f>+IF(I$2=$E162,$D162,IF(I$2&gt;I$257,0,IF($C162=I$2,"RECEBER"&amp;" "&amp;TEXT($B162," #.##0,00"),IF($C162=-1,"RECEBER"&amp;" "&amp;TEXT($B162," #.##0,00"),0))))</f>
        <v>0</v>
      </c>
      <c r="J162" s="111">
        <f>+IF(J$2=$E162,$D162,IF(J$2&gt;J$257,0,IF($C162=J$2,"RECEBER"&amp;" "&amp;TEXT($B162," #.##0,00"),0)))</f>
        <v>0</v>
      </c>
      <c r="K162" s="111">
        <f>+IF(K$2=$E162,$D162,IF(K$2&gt;K$257,0,IF($C162=K$2,"RECEBER"&amp;" "&amp;TEXT($B162," #.##0,00"),0)))</f>
        <v>0</v>
      </c>
      <c r="L162" s="111">
        <f>+IF(L$2=$E162,$D162,IF(L$2&gt;L$257,0,IF($C162=L$2,"RECEBER"&amp;" "&amp;TEXT($B162," #.##0,00"),0)))</f>
        <v>0</v>
      </c>
      <c r="M162" s="111">
        <f>+IF(M$2=$E162,$D162,IF(M$2&gt;M$257,0,IF($C162=M$2,"RECEBER"&amp;" "&amp;TEXT($B162," #.##0,00"),0)))</f>
        <v>0</v>
      </c>
      <c r="N162" s="111">
        <f>+IF(N$2=$E162,$D162,IF(N$2&gt;N$257,0,IF($C162=N$2,"RECEBER"&amp;" "&amp;TEXT($B162," #.##0,00"),0)))</f>
        <v>0</v>
      </c>
      <c r="O162" s="111">
        <f>+IF(O$2=$E162,$D162,IF(O$2&gt;O$257,0,IF($C162=O$2,"RECEBER"&amp;" "&amp;TEXT($B162," #.##0,00"),0)))</f>
        <v>0</v>
      </c>
      <c r="P162" s="111">
        <f>+IF(P$2=$E162,$D162,IF(P$2&gt;P$257,0,IF($C162=P$2,"RECEBER"&amp;" "&amp;TEXT($B162," #.##0,00"),0)))</f>
        <v>0</v>
      </c>
      <c r="Q162" s="111">
        <f>+IF(Q$2=$E162,$D162,IF(Q$2&gt;Q$257,0,IF($C162=Q$2,"RECEBER"&amp;" "&amp;TEXT($B162," #.##0,00"),0)))</f>
        <v>0</v>
      </c>
      <c r="R162" s="111">
        <f>+IF(R$2=$E162,$D162,IF(R$2&gt;R$257,0,IF($C162=R$2,"RECEBER"&amp;" "&amp;TEXT($B162," #.##0,00"),0)))</f>
        <v>0</v>
      </c>
      <c r="S162" s="111">
        <f>+IF(S$2=$E162,$D162,IF(S$2&gt;S$257,0,IF($C162=S$2,"RECEBER"&amp;" "&amp;TEXT($B162," #.##0,00"),0)))</f>
        <v>0</v>
      </c>
      <c r="T162" s="111">
        <f>+IF(T$2=$E162,$D162,IF(T$2&gt;T$257,0,IF($C162=T$2,"RECEBER"&amp;" "&amp;TEXT($B162," #.##0,00"),0)))</f>
        <v>0</v>
      </c>
      <c r="U162" s="111">
        <f>+IF(U$2=$E162,$D162,IF(U$2&gt;U$257,0,IF($C162=U$2,"RECEBER"&amp;" "&amp;TEXT($B162," #.##0,00"),0)))</f>
        <v>0</v>
      </c>
      <c r="V162" s="111">
        <f>+IF(V$2=$E162,$D162,IF(V$2&gt;V$257,0,IF($C162=V$2,"RECEBER"&amp;" "&amp;TEXT($B162," #.##0,00"),0)))</f>
        <v>0</v>
      </c>
      <c r="W162" s="111">
        <f>+IF(W$2=$E162,$D162,IF(W$2&gt;W$257,0,IF($C162=W$2,"RECEBER"&amp;" "&amp;TEXT($B162," #.##0,00"),0)))</f>
        <v>0</v>
      </c>
      <c r="X162" s="111">
        <f>+IF(X$2=$E162,$D162,IF(X$2&gt;X$257,0,IF($C162=X$2,"RECEBER"&amp;" "&amp;TEXT($B162," #.##0,00"),0)))</f>
        <v>0</v>
      </c>
      <c r="Y162" s="111">
        <f>+IF(Y$2=$E162,$D162,IF(Y$2&gt;Y$257,0,IF($C162=Y$2,"RECEBER"&amp;" "&amp;TEXT($B162," #.##0,00"),0)))</f>
        <v>0</v>
      </c>
      <c r="Z162" s="111">
        <f>+IF(Z$2=$E162,$D162,IF(Z$2&gt;Z$257,0,IF($C162=Z$2,"RECEBER"&amp;" "&amp;TEXT($B162," #.##0,00"),0)))</f>
        <v>0</v>
      </c>
      <c r="AA162" s="111">
        <f>+IF(AA$2=$E162,$D162,IF(AA$2&gt;AA$257,0,IF($C162=AA$2,"RECEBER"&amp;" "&amp;TEXT($B162," #.##0,00"),0)))</f>
        <v>0</v>
      </c>
      <c r="AB162" s="111">
        <f>+IF(AB$2=$E162,$D162,IF(AB$2&gt;AB$257,0,IF($C162=AB$2,"RECEBER"&amp;" "&amp;TEXT($B162," #.##0,00"),0)))</f>
        <v>0</v>
      </c>
      <c r="AC162" s="111">
        <f>+IF(AC$2=$E162,$D162,IF(AC$2&gt;AC$257,0,IF($C162=AC$2,"RECEBER"&amp;" "&amp;TEXT($B162," #.##0,00"),0)))</f>
        <v>0</v>
      </c>
      <c r="AD162" s="111">
        <f>+IF(AD$2=$E162,$D162,IF(AD$2&gt;AD$257,0,IF($C162=AD$2,"RECEBER"&amp;" "&amp;TEXT($B162," #.##0,00"),0)))</f>
        <v>0</v>
      </c>
      <c r="AE162" s="111">
        <f>+IF(AE$2=$E162,$D162,IF(AE$2&gt;AE$257,0,IF($C162=AE$2,"RECEBER"&amp;" "&amp;TEXT($B162," #.##0,00"),0)))</f>
        <v>0</v>
      </c>
      <c r="AF162" s="111">
        <f>+IF(AF$2=$E162,$D162,IF(AF$2&gt;AF$257,0,IF($C162=AF$2,"RECEBER"&amp;" "&amp;TEXT($B162," #.##0,00"),0)))</f>
        <v>0</v>
      </c>
      <c r="AG162" s="111">
        <f>+IF(AG$2=$E162,$D162,IF(AG$2&gt;AG$257,0,IF($C162=AG$2,"RECEBER"&amp;" "&amp;TEXT($B162," #.##0,00"),0)))</f>
        <v>0</v>
      </c>
      <c r="AH162" s="111">
        <f>+IF(AH$2=$E162,$D162,IF(AH$2&gt;AH$257,0,IF($C162=AH$2,"RECEBER"&amp;" "&amp;TEXT($B162," #.##0,00"),0)))</f>
        <v>0</v>
      </c>
      <c r="AI162" s="111">
        <f>+IF(AI$2=$E162,$D162,IF(AI$2&gt;AI$257,0,IF($C162=AI$2,"RECEBER"&amp;" "&amp;TEXT($B162," #.##0,00"),0)))</f>
        <v>0</v>
      </c>
      <c r="AJ162" s="111">
        <f>+IF(AJ$2=$E162,$D162,IF(AJ$2&gt;AJ$257,0,IF($C162=AJ$2,"RECEBER"&amp;" "&amp;TEXT($B162," #.##0,00"),0)))</f>
        <v>0</v>
      </c>
      <c r="AK162" s="111">
        <f>+IF(AK$2=$E162,$D162,IF(AK$2&gt;AK$257,0,IF($C162=AK$2,"RECEBER"&amp;" "&amp;TEXT($B162," #.##0,00"),0)))</f>
        <v>0</v>
      </c>
      <c r="AL162" s="111">
        <f>+IF(AL$2=$E162,$D162,IF(AL$2&gt;AL$257,0,IF($C162=AL$2,"RECEBER"&amp;" "&amp;TEXT($B162," #.##0,00"),0)))</f>
        <v>0</v>
      </c>
      <c r="AM162" s="111">
        <f>+IF(AM$2=$E162,$D162,IF(AM$2&gt;AM$257,0,IF($C162=AM$2,"RECEBER"&amp;" "&amp;TEXT($B162," #.##0,00"),0)))</f>
        <v>0</v>
      </c>
      <c r="AN162" s="191"/>
      <c r="AO162" s="191"/>
    </row>
    <row r="163" spans="1:41" x14ac:dyDescent="0.25">
      <c r="A163" s="212"/>
      <c r="B163" s="90"/>
      <c r="C163" s="91"/>
      <c r="D163" s="97"/>
      <c r="E163" s="121"/>
      <c r="F163" s="84">
        <f t="shared" si="38"/>
        <v>0</v>
      </c>
      <c r="G163" s="86"/>
      <c r="H163" s="114"/>
      <c r="I163" s="111">
        <f>+IF(I$2=$E163,$D163,IF(I$2&gt;I$257,0,IF($C163=I$2,"RECEBER"&amp;" "&amp;TEXT($B163," #.##0,00"),IF($C163=-1,"RECEBER"&amp;" "&amp;TEXT($B163," #.##0,00"),0))))</f>
        <v>0</v>
      </c>
      <c r="J163" s="111">
        <f>+IF(J$2=$E163,$D163,IF(J$2&gt;J$257,0,IF($C163=J$2,"RECEBER"&amp;" "&amp;TEXT($B163," #.##0,00"),0)))</f>
        <v>0</v>
      </c>
      <c r="K163" s="111">
        <f>+IF(K$2=$E163,$D163,IF(K$2&gt;K$257,0,IF($C163=K$2,"RECEBER"&amp;" "&amp;TEXT($B163," #.##0,00"),0)))</f>
        <v>0</v>
      </c>
      <c r="L163" s="111">
        <f>+IF(L$2=$E163,$D163,IF(L$2&gt;L$257,0,IF($C163=L$2,"RECEBER"&amp;" "&amp;TEXT($B163," #.##0,00"),0)))</f>
        <v>0</v>
      </c>
      <c r="M163" s="111">
        <f>+IF(M$2=$E163,$D163,IF(M$2&gt;M$257,0,IF($C163=M$2,"RECEBER"&amp;" "&amp;TEXT($B163," #.##0,00"),0)))</f>
        <v>0</v>
      </c>
      <c r="N163" s="111">
        <f>+IF(N$2=$E163,$D163,IF(N$2&gt;N$257,0,IF($C163=N$2,"RECEBER"&amp;" "&amp;TEXT($B163," #.##0,00"),0)))</f>
        <v>0</v>
      </c>
      <c r="O163" s="111">
        <f>+IF(O$2=$E163,$D163,IF(O$2&gt;O$257,0,IF($C163=O$2,"RECEBER"&amp;" "&amp;TEXT($B163," #.##0,00"),0)))</f>
        <v>0</v>
      </c>
      <c r="P163" s="111">
        <f>+IF(P$2=$E163,$D163,IF(P$2&gt;P$257,0,IF($C163=P$2,"RECEBER"&amp;" "&amp;TEXT($B163," #.##0,00"),0)))</f>
        <v>0</v>
      </c>
      <c r="Q163" s="111">
        <f>+IF(Q$2=$E163,$D163,IF(Q$2&gt;Q$257,0,IF($C163=Q$2,"RECEBER"&amp;" "&amp;TEXT($B163," #.##0,00"),0)))</f>
        <v>0</v>
      </c>
      <c r="R163" s="111">
        <f>+IF(R$2=$E163,$D163,IF(R$2&gt;R$257,0,IF($C163=R$2,"RECEBER"&amp;" "&amp;TEXT($B163," #.##0,00"),0)))</f>
        <v>0</v>
      </c>
      <c r="S163" s="111">
        <f>+IF(S$2=$E163,$D163,IF(S$2&gt;S$257,0,IF($C163=S$2,"RECEBER"&amp;" "&amp;TEXT($B163," #.##0,00"),0)))</f>
        <v>0</v>
      </c>
      <c r="T163" s="111">
        <f>+IF(T$2=$E163,$D163,IF(T$2&gt;T$257,0,IF($C163=T$2,"RECEBER"&amp;" "&amp;TEXT($B163," #.##0,00"),0)))</f>
        <v>0</v>
      </c>
      <c r="U163" s="111">
        <f>+IF(U$2=$E163,$D163,IF(U$2&gt;U$257,0,IF($C163=U$2,"RECEBER"&amp;" "&amp;TEXT($B163," #.##0,00"),0)))</f>
        <v>0</v>
      </c>
      <c r="V163" s="111">
        <f>+IF(V$2=$E163,$D163,IF(V$2&gt;V$257,0,IF($C163=V$2,"RECEBER"&amp;" "&amp;TEXT($B163," #.##0,00"),0)))</f>
        <v>0</v>
      </c>
      <c r="W163" s="111">
        <f>+IF(W$2=$E163,$D163,IF(W$2&gt;W$257,0,IF($C163=W$2,"RECEBER"&amp;" "&amp;TEXT($B163," #.##0,00"),0)))</f>
        <v>0</v>
      </c>
      <c r="X163" s="111">
        <f>+IF(X$2=$E163,$D163,IF(X$2&gt;X$257,0,IF($C163=X$2,"RECEBER"&amp;" "&amp;TEXT($B163," #.##0,00"),0)))</f>
        <v>0</v>
      </c>
      <c r="Y163" s="111">
        <f>+IF(Y$2=$E163,$D163,IF(Y$2&gt;Y$257,0,IF($C163=Y$2,"RECEBER"&amp;" "&amp;TEXT($B163," #.##0,00"),0)))</f>
        <v>0</v>
      </c>
      <c r="Z163" s="111">
        <f>+IF(Z$2=$E163,$D163,IF(Z$2&gt;Z$257,0,IF($C163=Z$2,"RECEBER"&amp;" "&amp;TEXT($B163," #.##0,00"),0)))</f>
        <v>0</v>
      </c>
      <c r="AA163" s="111">
        <f>+IF(AA$2=$E163,$D163,IF(AA$2&gt;AA$257,0,IF($C163=AA$2,"RECEBER"&amp;" "&amp;TEXT($B163," #.##0,00"),0)))</f>
        <v>0</v>
      </c>
      <c r="AB163" s="111">
        <f>+IF(AB$2=$E163,$D163,IF(AB$2&gt;AB$257,0,IF($C163=AB$2,"RECEBER"&amp;" "&amp;TEXT($B163," #.##0,00"),0)))</f>
        <v>0</v>
      </c>
      <c r="AC163" s="111">
        <f>+IF(AC$2=$E163,$D163,IF(AC$2&gt;AC$257,0,IF($C163=AC$2,"RECEBER"&amp;" "&amp;TEXT($B163," #.##0,00"),0)))</f>
        <v>0</v>
      </c>
      <c r="AD163" s="111">
        <f>+IF(AD$2=$E163,$D163,IF(AD$2&gt;AD$257,0,IF($C163=AD$2,"RECEBER"&amp;" "&amp;TEXT($B163," #.##0,00"),0)))</f>
        <v>0</v>
      </c>
      <c r="AE163" s="111">
        <f>+IF(AE$2=$E163,$D163,IF(AE$2&gt;AE$257,0,IF($C163=AE$2,"RECEBER"&amp;" "&amp;TEXT($B163," #.##0,00"),0)))</f>
        <v>0</v>
      </c>
      <c r="AF163" s="111">
        <f>+IF(AF$2=$E163,$D163,IF(AF$2&gt;AF$257,0,IF($C163=AF$2,"RECEBER"&amp;" "&amp;TEXT($B163," #.##0,00"),0)))</f>
        <v>0</v>
      </c>
      <c r="AG163" s="111">
        <f>+IF(AG$2=$E163,$D163,IF(AG$2&gt;AG$257,0,IF($C163=AG$2,"RECEBER"&amp;" "&amp;TEXT($B163," #.##0,00"),0)))</f>
        <v>0</v>
      </c>
      <c r="AH163" s="111">
        <f>+IF(AH$2=$E163,$D163,IF(AH$2&gt;AH$257,0,IF($C163=AH$2,"RECEBER"&amp;" "&amp;TEXT($B163," #.##0,00"),0)))</f>
        <v>0</v>
      </c>
      <c r="AI163" s="111">
        <f>+IF(AI$2=$E163,$D163,IF(AI$2&gt;AI$257,0,IF($C163=AI$2,"RECEBER"&amp;" "&amp;TEXT($B163," #.##0,00"),0)))</f>
        <v>0</v>
      </c>
      <c r="AJ163" s="111">
        <f>+IF(AJ$2=$E163,$D163,IF(AJ$2&gt;AJ$257,0,IF($C163=AJ$2,"RECEBER"&amp;" "&amp;TEXT($B163," #.##0,00"),0)))</f>
        <v>0</v>
      </c>
      <c r="AK163" s="111">
        <f>+IF(AK$2=$E163,$D163,IF(AK$2&gt;AK$257,0,IF($C163=AK$2,"RECEBER"&amp;" "&amp;TEXT($B163," #.##0,00"),0)))</f>
        <v>0</v>
      </c>
      <c r="AL163" s="111">
        <f>+IF(AL$2=$E163,$D163,IF(AL$2&gt;AL$257,0,IF($C163=AL$2,"RECEBER"&amp;" "&amp;TEXT($B163," #.##0,00"),0)))</f>
        <v>0</v>
      </c>
      <c r="AM163" s="111">
        <f>+IF(AM$2=$E163,$D163,IF(AM$2&gt;AM$257,0,IF($C163=AM$2,"RECEBER"&amp;" "&amp;TEXT($B163," #.##0,00"),0)))</f>
        <v>0</v>
      </c>
      <c r="AN163" s="191"/>
      <c r="AO163" s="191"/>
    </row>
    <row r="164" spans="1:41" x14ac:dyDescent="0.25">
      <c r="A164" s="212"/>
      <c r="B164" s="90"/>
      <c r="C164" s="91"/>
      <c r="D164" s="97"/>
      <c r="E164" s="121"/>
      <c r="F164" s="84">
        <f t="shared" si="38"/>
        <v>0</v>
      </c>
      <c r="G164" s="86"/>
      <c r="H164" s="114"/>
      <c r="I164" s="111">
        <f>+IF(I$2=$E164,$D164,IF(I$2&gt;I$257,0,IF($C164=I$2,"RECEBER"&amp;" "&amp;TEXT($B164," #.##0,00"),IF($C164=-1,"RECEBER"&amp;" "&amp;TEXT($B164," #.##0,00"),0))))</f>
        <v>0</v>
      </c>
      <c r="J164" s="111">
        <f>+IF(J$2=$E164,$D164,IF(J$2&gt;J$257,0,IF($C164=J$2,"RECEBER"&amp;" "&amp;TEXT($B164," #.##0,00"),0)))</f>
        <v>0</v>
      </c>
      <c r="K164" s="111">
        <f>+IF(K$2=$E164,$D164,IF(K$2&gt;K$257,0,IF($C164=K$2,"RECEBER"&amp;" "&amp;TEXT($B164," #.##0,00"),0)))</f>
        <v>0</v>
      </c>
      <c r="L164" s="111">
        <f>+IF(L$2=$E164,$D164,IF(L$2&gt;L$257,0,IF($C164=L$2,"RECEBER"&amp;" "&amp;TEXT($B164," #.##0,00"),0)))</f>
        <v>0</v>
      </c>
      <c r="M164" s="111">
        <f>+IF(M$2=$E164,$D164,IF(M$2&gt;M$257,0,IF($C164=M$2,"RECEBER"&amp;" "&amp;TEXT($B164," #.##0,00"),0)))</f>
        <v>0</v>
      </c>
      <c r="N164" s="111">
        <f>+IF(N$2=$E164,$D164,IF(N$2&gt;N$257,0,IF($C164=N$2,"RECEBER"&amp;" "&amp;TEXT($B164," #.##0,00"),0)))</f>
        <v>0</v>
      </c>
      <c r="O164" s="111">
        <f>+IF(O$2=$E164,$D164,IF(O$2&gt;O$257,0,IF($C164=O$2,"RECEBER"&amp;" "&amp;TEXT($B164," #.##0,00"),0)))</f>
        <v>0</v>
      </c>
      <c r="P164" s="111">
        <f>+IF(P$2=$E164,$D164,IF(P$2&gt;P$257,0,IF($C164=P$2,"RECEBER"&amp;" "&amp;TEXT($B164," #.##0,00"),0)))</f>
        <v>0</v>
      </c>
      <c r="Q164" s="111">
        <f>+IF(Q$2=$E164,$D164,IF(Q$2&gt;Q$257,0,IF($C164=Q$2,"RECEBER"&amp;" "&amp;TEXT($B164," #.##0,00"),0)))</f>
        <v>0</v>
      </c>
      <c r="R164" s="111">
        <f>+IF(R$2=$E164,$D164,IF(R$2&gt;R$257,0,IF($C164=R$2,"RECEBER"&amp;" "&amp;TEXT($B164," #.##0,00"),0)))</f>
        <v>0</v>
      </c>
      <c r="S164" s="111">
        <f>+IF(S$2=$E164,$D164,IF(S$2&gt;S$257,0,IF($C164=S$2,"RECEBER"&amp;" "&amp;TEXT($B164," #.##0,00"),0)))</f>
        <v>0</v>
      </c>
      <c r="T164" s="111">
        <f>+IF(T$2=$E164,$D164,IF(T$2&gt;T$257,0,IF($C164=T$2,"RECEBER"&amp;" "&amp;TEXT($B164," #.##0,00"),0)))</f>
        <v>0</v>
      </c>
      <c r="U164" s="111">
        <f>+IF(U$2=$E164,$D164,IF(U$2&gt;U$257,0,IF($C164=U$2,"RECEBER"&amp;" "&amp;TEXT($B164," #.##0,00"),0)))</f>
        <v>0</v>
      </c>
      <c r="V164" s="111">
        <f>+IF(V$2=$E164,$D164,IF(V$2&gt;V$257,0,IF($C164=V$2,"RECEBER"&amp;" "&amp;TEXT($B164," #.##0,00"),0)))</f>
        <v>0</v>
      </c>
      <c r="W164" s="111">
        <f>+IF(W$2=$E164,$D164,IF(W$2&gt;W$257,0,IF($C164=W$2,"RECEBER"&amp;" "&amp;TEXT($B164," #.##0,00"),0)))</f>
        <v>0</v>
      </c>
      <c r="X164" s="111">
        <f>+IF(X$2=$E164,$D164,IF(X$2&gt;X$257,0,IF($C164=X$2,"RECEBER"&amp;" "&amp;TEXT($B164," #.##0,00"),0)))</f>
        <v>0</v>
      </c>
      <c r="Y164" s="111">
        <f>+IF(Y$2=$E164,$D164,IF(Y$2&gt;Y$257,0,IF($C164=Y$2,"RECEBER"&amp;" "&amp;TEXT($B164," #.##0,00"),0)))</f>
        <v>0</v>
      </c>
      <c r="Z164" s="111">
        <f>+IF(Z$2=$E164,$D164,IF(Z$2&gt;Z$257,0,IF($C164=Z$2,"RECEBER"&amp;" "&amp;TEXT($B164," #.##0,00"),0)))</f>
        <v>0</v>
      </c>
      <c r="AA164" s="111">
        <f>+IF(AA$2=$E164,$D164,IF(AA$2&gt;AA$257,0,IF($C164=AA$2,"RECEBER"&amp;" "&amp;TEXT($B164," #.##0,00"),0)))</f>
        <v>0</v>
      </c>
      <c r="AB164" s="111">
        <f>+IF(AB$2=$E164,$D164,IF(AB$2&gt;AB$257,0,IF($C164=AB$2,"RECEBER"&amp;" "&amp;TEXT($B164," #.##0,00"),0)))</f>
        <v>0</v>
      </c>
      <c r="AC164" s="111">
        <f>+IF(AC$2=$E164,$D164,IF(AC$2&gt;AC$257,0,IF($C164=AC$2,"RECEBER"&amp;" "&amp;TEXT($B164," #.##0,00"),0)))</f>
        <v>0</v>
      </c>
      <c r="AD164" s="111">
        <f>+IF(AD$2=$E164,$D164,IF(AD$2&gt;AD$257,0,IF($C164=AD$2,"RECEBER"&amp;" "&amp;TEXT($B164," #.##0,00"),0)))</f>
        <v>0</v>
      </c>
      <c r="AE164" s="111">
        <f>+IF(AE$2=$E164,$D164,IF(AE$2&gt;AE$257,0,IF($C164=AE$2,"RECEBER"&amp;" "&amp;TEXT($B164," #.##0,00"),0)))</f>
        <v>0</v>
      </c>
      <c r="AF164" s="111">
        <f>+IF(AF$2=$E164,$D164,IF(AF$2&gt;AF$257,0,IF($C164=AF$2,"RECEBER"&amp;" "&amp;TEXT($B164," #.##0,00"),0)))</f>
        <v>0</v>
      </c>
      <c r="AG164" s="111">
        <f>+IF(AG$2=$E164,$D164,IF(AG$2&gt;AG$257,0,IF($C164=AG$2,"RECEBER"&amp;" "&amp;TEXT($B164," #.##0,00"),0)))</f>
        <v>0</v>
      </c>
      <c r="AH164" s="111">
        <f>+IF(AH$2=$E164,$D164,IF(AH$2&gt;AH$257,0,IF($C164=AH$2,"RECEBER"&amp;" "&amp;TEXT($B164," #.##0,00"),0)))</f>
        <v>0</v>
      </c>
      <c r="AI164" s="111">
        <f>+IF(AI$2=$E164,$D164,IF(AI$2&gt;AI$257,0,IF($C164=AI$2,"RECEBER"&amp;" "&amp;TEXT($B164," #.##0,00"),0)))</f>
        <v>0</v>
      </c>
      <c r="AJ164" s="111">
        <f>+IF(AJ$2=$E164,$D164,IF(AJ$2&gt;AJ$257,0,IF($C164=AJ$2,"RECEBER"&amp;" "&amp;TEXT($B164," #.##0,00"),0)))</f>
        <v>0</v>
      </c>
      <c r="AK164" s="111">
        <f>+IF(AK$2=$E164,$D164,IF(AK$2&gt;AK$257,0,IF($C164=AK$2,"RECEBER"&amp;" "&amp;TEXT($B164," #.##0,00"),0)))</f>
        <v>0</v>
      </c>
      <c r="AL164" s="111">
        <f>+IF(AL$2=$E164,$D164,IF(AL$2&gt;AL$257,0,IF($C164=AL$2,"RECEBER"&amp;" "&amp;TEXT($B164," #.##0,00"),0)))</f>
        <v>0</v>
      </c>
      <c r="AM164" s="111">
        <f>+IF(AM$2=$E164,$D164,IF(AM$2&gt;AM$257,0,IF($C164=AM$2,"RECEBER"&amp;" "&amp;TEXT($B164," #.##0,00"),0)))</f>
        <v>0</v>
      </c>
      <c r="AN164" s="191"/>
      <c r="AO164" s="191"/>
    </row>
    <row r="165" spans="1:41" x14ac:dyDescent="0.25">
      <c r="A165" s="212"/>
      <c r="B165" s="90"/>
      <c r="C165" s="91"/>
      <c r="D165" s="97"/>
      <c r="E165" s="121"/>
      <c r="F165" s="84">
        <f t="shared" si="38"/>
        <v>0</v>
      </c>
      <c r="G165" s="86"/>
      <c r="H165" s="114"/>
      <c r="I165" s="111">
        <f>+IF(I$2=$E165,$D165,IF(I$2&gt;I$257,0,IF($C165=I$2,"RECEBER"&amp;" "&amp;TEXT($B165," #.##0,00"),IF($C165=-1,"RECEBER"&amp;" "&amp;TEXT($B165," #.##0,00"),0))))</f>
        <v>0</v>
      </c>
      <c r="J165" s="111">
        <f>+IF(J$2=$E165,$D165,IF(J$2&gt;J$257,0,IF($C165=J$2,"RECEBER"&amp;" "&amp;TEXT($B165," #.##0,00"),0)))</f>
        <v>0</v>
      </c>
      <c r="K165" s="111">
        <f>+IF(K$2=$E165,$D165,IF(K$2&gt;K$257,0,IF($C165=K$2,"RECEBER"&amp;" "&amp;TEXT($B165," #.##0,00"),0)))</f>
        <v>0</v>
      </c>
      <c r="L165" s="111">
        <f>+IF(L$2=$E165,$D165,IF(L$2&gt;L$257,0,IF($C165=L$2,"RECEBER"&amp;" "&amp;TEXT($B165," #.##0,00"),0)))</f>
        <v>0</v>
      </c>
      <c r="M165" s="111">
        <f>+IF(M$2=$E165,$D165,IF(M$2&gt;M$257,0,IF($C165=M$2,"RECEBER"&amp;" "&amp;TEXT($B165," #.##0,00"),0)))</f>
        <v>0</v>
      </c>
      <c r="N165" s="111">
        <f>+IF(N$2=$E165,$D165,IF(N$2&gt;N$257,0,IF($C165=N$2,"RECEBER"&amp;" "&amp;TEXT($B165," #.##0,00"),0)))</f>
        <v>0</v>
      </c>
      <c r="O165" s="111">
        <f>+IF(O$2=$E165,$D165,IF(O$2&gt;O$257,0,IF($C165=O$2,"RECEBER"&amp;" "&amp;TEXT($B165," #.##0,00"),0)))</f>
        <v>0</v>
      </c>
      <c r="P165" s="111">
        <f>+IF(P$2=$E165,$D165,IF(P$2&gt;P$257,0,IF($C165=P$2,"RECEBER"&amp;" "&amp;TEXT($B165," #.##0,00"),0)))</f>
        <v>0</v>
      </c>
      <c r="Q165" s="111">
        <f>+IF(Q$2=$E165,$D165,IF(Q$2&gt;Q$257,0,IF($C165=Q$2,"RECEBER"&amp;" "&amp;TEXT($B165," #.##0,00"),0)))</f>
        <v>0</v>
      </c>
      <c r="R165" s="111">
        <f>+IF(R$2=$E165,$D165,IF(R$2&gt;R$257,0,IF($C165=R$2,"RECEBER"&amp;" "&amp;TEXT($B165," #.##0,00"),0)))</f>
        <v>0</v>
      </c>
      <c r="S165" s="111">
        <f>+IF(S$2=$E165,$D165,IF(S$2&gt;S$257,0,IF($C165=S$2,"RECEBER"&amp;" "&amp;TEXT($B165," #.##0,00"),0)))</f>
        <v>0</v>
      </c>
      <c r="T165" s="111">
        <f>+IF(T$2=$E165,$D165,IF(T$2&gt;T$257,0,IF($C165=T$2,"RECEBER"&amp;" "&amp;TEXT($B165," #.##0,00"),0)))</f>
        <v>0</v>
      </c>
      <c r="U165" s="111">
        <f>+IF(U$2=$E165,$D165,IF(U$2&gt;U$257,0,IF($C165=U$2,"RECEBER"&amp;" "&amp;TEXT($B165," #.##0,00"),0)))</f>
        <v>0</v>
      </c>
      <c r="V165" s="111">
        <f>+IF(V$2=$E165,$D165,IF(V$2&gt;V$257,0,IF($C165=V$2,"RECEBER"&amp;" "&amp;TEXT($B165," #.##0,00"),0)))</f>
        <v>0</v>
      </c>
      <c r="W165" s="111">
        <f>+IF(W$2=$E165,$D165,IF(W$2&gt;W$257,0,IF($C165=W$2,"RECEBER"&amp;" "&amp;TEXT($B165," #.##0,00"),0)))</f>
        <v>0</v>
      </c>
      <c r="X165" s="111">
        <f>+IF(X$2=$E165,$D165,IF(X$2&gt;X$257,0,IF($C165=X$2,"RECEBER"&amp;" "&amp;TEXT($B165," #.##0,00"),0)))</f>
        <v>0</v>
      </c>
      <c r="Y165" s="111">
        <f>+IF(Y$2=$E165,$D165,IF(Y$2&gt;Y$257,0,IF($C165=Y$2,"RECEBER"&amp;" "&amp;TEXT($B165," #.##0,00"),0)))</f>
        <v>0</v>
      </c>
      <c r="Z165" s="111">
        <f>+IF(Z$2=$E165,$D165,IF(Z$2&gt;Z$257,0,IF($C165=Z$2,"RECEBER"&amp;" "&amp;TEXT($B165," #.##0,00"),0)))</f>
        <v>0</v>
      </c>
      <c r="AA165" s="111">
        <f>+IF(AA$2=$E165,$D165,IF(AA$2&gt;AA$257,0,IF($C165=AA$2,"RECEBER"&amp;" "&amp;TEXT($B165," #.##0,00"),0)))</f>
        <v>0</v>
      </c>
      <c r="AB165" s="111">
        <f>+IF(AB$2=$E165,$D165,IF(AB$2&gt;AB$257,0,IF($C165=AB$2,"RECEBER"&amp;" "&amp;TEXT($B165," #.##0,00"),0)))</f>
        <v>0</v>
      </c>
      <c r="AC165" s="111">
        <f>+IF(AC$2=$E165,$D165,IF(AC$2&gt;AC$257,0,IF($C165=AC$2,"RECEBER"&amp;" "&amp;TEXT($B165," #.##0,00"),0)))</f>
        <v>0</v>
      </c>
      <c r="AD165" s="111">
        <f>+IF(AD$2=$E165,$D165,IF(AD$2&gt;AD$257,0,IF($C165=AD$2,"RECEBER"&amp;" "&amp;TEXT($B165," #.##0,00"),0)))</f>
        <v>0</v>
      </c>
      <c r="AE165" s="111">
        <f>+IF(AE$2=$E165,$D165,IF(AE$2&gt;AE$257,0,IF($C165=AE$2,"RECEBER"&amp;" "&amp;TEXT($B165," #.##0,00"),0)))</f>
        <v>0</v>
      </c>
      <c r="AF165" s="111">
        <f>+IF(AF$2=$E165,$D165,IF(AF$2&gt;AF$257,0,IF($C165=AF$2,"RECEBER"&amp;" "&amp;TEXT($B165," #.##0,00"),0)))</f>
        <v>0</v>
      </c>
      <c r="AG165" s="111">
        <f>+IF(AG$2=$E165,$D165,IF(AG$2&gt;AG$257,0,IF($C165=AG$2,"RECEBER"&amp;" "&amp;TEXT($B165," #.##0,00"),0)))</f>
        <v>0</v>
      </c>
      <c r="AH165" s="111">
        <f>+IF(AH$2=$E165,$D165,IF(AH$2&gt;AH$257,0,IF($C165=AH$2,"RECEBER"&amp;" "&amp;TEXT($B165," #.##0,00"),0)))</f>
        <v>0</v>
      </c>
      <c r="AI165" s="111">
        <f>+IF(AI$2=$E165,$D165,IF(AI$2&gt;AI$257,0,IF($C165=AI$2,"RECEBER"&amp;" "&amp;TEXT($B165," #.##0,00"),0)))</f>
        <v>0</v>
      </c>
      <c r="AJ165" s="111">
        <f>+IF(AJ$2=$E165,$D165,IF(AJ$2&gt;AJ$257,0,IF($C165=AJ$2,"RECEBER"&amp;" "&amp;TEXT($B165," #.##0,00"),0)))</f>
        <v>0</v>
      </c>
      <c r="AK165" s="111">
        <f>+IF(AK$2=$E165,$D165,IF(AK$2&gt;AK$257,0,IF($C165=AK$2,"RECEBER"&amp;" "&amp;TEXT($B165," #.##0,00"),0)))</f>
        <v>0</v>
      </c>
      <c r="AL165" s="111">
        <f>+IF(AL$2=$E165,$D165,IF(AL$2&gt;AL$257,0,IF($C165=AL$2,"RECEBER"&amp;" "&amp;TEXT($B165," #.##0,00"),0)))</f>
        <v>0</v>
      </c>
      <c r="AM165" s="111">
        <f>+IF(AM$2=$E165,$D165,IF(AM$2&gt;AM$257,0,IF($C165=AM$2,"RECEBER"&amp;" "&amp;TEXT($B165," #.##0,00"),0)))</f>
        <v>0</v>
      </c>
      <c r="AN165" s="191"/>
      <c r="AO165" s="191"/>
    </row>
    <row r="166" spans="1:41" x14ac:dyDescent="0.25">
      <c r="A166" s="212"/>
      <c r="B166" s="90"/>
      <c r="C166" s="91"/>
      <c r="D166" s="97"/>
      <c r="E166" s="121"/>
      <c r="F166" s="84">
        <f t="shared" si="38"/>
        <v>0</v>
      </c>
      <c r="G166" s="86"/>
      <c r="H166" s="114"/>
      <c r="I166" s="111">
        <f>+IF(I$2=$E166,$D166,IF(I$2&gt;I$257,0,IF($C166=I$2,"RECEBER"&amp;" "&amp;TEXT($B166," #.##0,00"),IF($C166=-1,"RECEBER"&amp;" "&amp;TEXT($B166," #.##0,00"),0))))</f>
        <v>0</v>
      </c>
      <c r="J166" s="111">
        <f>+IF(J$2=$E166,$D166,IF(J$2&gt;J$257,0,IF($C166=J$2,"RECEBER"&amp;" "&amp;TEXT($B166," #.##0,00"),0)))</f>
        <v>0</v>
      </c>
      <c r="K166" s="111">
        <f>+IF(K$2=$E166,$D166,IF(K$2&gt;K$257,0,IF($C166=K$2,"RECEBER"&amp;" "&amp;TEXT($B166," #.##0,00"),0)))</f>
        <v>0</v>
      </c>
      <c r="L166" s="111">
        <f>+IF(L$2=$E166,$D166,IF(L$2&gt;L$257,0,IF($C166=L$2,"RECEBER"&amp;" "&amp;TEXT($B166," #.##0,00"),0)))</f>
        <v>0</v>
      </c>
      <c r="M166" s="111">
        <f>+IF(M$2=$E166,$D166,IF(M$2&gt;M$257,0,IF($C166=M$2,"RECEBER"&amp;" "&amp;TEXT($B166," #.##0,00"),0)))</f>
        <v>0</v>
      </c>
      <c r="N166" s="111">
        <f>+IF(N$2=$E166,$D166,IF(N$2&gt;N$257,0,IF($C166=N$2,"RECEBER"&amp;" "&amp;TEXT($B166," #.##0,00"),0)))</f>
        <v>0</v>
      </c>
      <c r="O166" s="111">
        <f>+IF(O$2=$E166,$D166,IF(O$2&gt;O$257,0,IF($C166=O$2,"RECEBER"&amp;" "&amp;TEXT($B166," #.##0,00"),0)))</f>
        <v>0</v>
      </c>
      <c r="P166" s="111">
        <f>+IF(P$2=$E166,$D166,IF(P$2&gt;P$257,0,IF($C166=P$2,"RECEBER"&amp;" "&amp;TEXT($B166," #.##0,00"),0)))</f>
        <v>0</v>
      </c>
      <c r="Q166" s="111">
        <f>+IF(Q$2=$E166,$D166,IF(Q$2&gt;Q$257,0,IF($C166=Q$2,"RECEBER"&amp;" "&amp;TEXT($B166," #.##0,00"),0)))</f>
        <v>0</v>
      </c>
      <c r="R166" s="111">
        <f>+IF(R$2=$E166,$D166,IF(R$2&gt;R$257,0,IF($C166=R$2,"RECEBER"&amp;" "&amp;TEXT($B166," #.##0,00"),0)))</f>
        <v>0</v>
      </c>
      <c r="S166" s="111">
        <f>+IF(S$2=$E166,$D166,IF(S$2&gt;S$257,0,IF($C166=S$2,"RECEBER"&amp;" "&amp;TEXT($B166," #.##0,00"),0)))</f>
        <v>0</v>
      </c>
      <c r="T166" s="111">
        <f>+IF(T$2=$E166,$D166,IF(T$2&gt;T$257,0,IF($C166=T$2,"RECEBER"&amp;" "&amp;TEXT($B166," #.##0,00"),0)))</f>
        <v>0</v>
      </c>
      <c r="U166" s="111">
        <f>+IF(U$2=$E166,$D166,IF(U$2&gt;U$257,0,IF($C166=U$2,"RECEBER"&amp;" "&amp;TEXT($B166," #.##0,00"),0)))</f>
        <v>0</v>
      </c>
      <c r="V166" s="111">
        <f>+IF(V$2=$E166,$D166,IF(V$2&gt;V$257,0,IF($C166=V$2,"RECEBER"&amp;" "&amp;TEXT($B166," #.##0,00"),0)))</f>
        <v>0</v>
      </c>
      <c r="W166" s="111">
        <f>+IF(W$2=$E166,$D166,IF(W$2&gt;W$257,0,IF($C166=W$2,"RECEBER"&amp;" "&amp;TEXT($B166," #.##0,00"),0)))</f>
        <v>0</v>
      </c>
      <c r="X166" s="111">
        <f>+IF(X$2=$E166,$D166,IF(X$2&gt;X$257,0,IF($C166=X$2,"RECEBER"&amp;" "&amp;TEXT($B166," #.##0,00"),0)))</f>
        <v>0</v>
      </c>
      <c r="Y166" s="111">
        <f>+IF(Y$2=$E166,$D166,IF(Y$2&gt;Y$257,0,IF($C166=Y$2,"RECEBER"&amp;" "&amp;TEXT($B166," #.##0,00"),0)))</f>
        <v>0</v>
      </c>
      <c r="Z166" s="111">
        <f>+IF(Z$2=$E166,$D166,IF(Z$2&gt;Z$257,0,IF($C166=Z$2,"RECEBER"&amp;" "&amp;TEXT($B166," #.##0,00"),0)))</f>
        <v>0</v>
      </c>
      <c r="AA166" s="111">
        <f>+IF(AA$2=$E166,$D166,IF(AA$2&gt;AA$257,0,IF($C166=AA$2,"RECEBER"&amp;" "&amp;TEXT($B166," #.##0,00"),0)))</f>
        <v>0</v>
      </c>
      <c r="AB166" s="111">
        <f>+IF(AB$2=$E166,$D166,IF(AB$2&gt;AB$257,0,IF($C166=AB$2,"RECEBER"&amp;" "&amp;TEXT($B166," #.##0,00"),0)))</f>
        <v>0</v>
      </c>
      <c r="AC166" s="111">
        <f>+IF(AC$2=$E166,$D166,IF(AC$2&gt;AC$257,0,IF($C166=AC$2,"RECEBER"&amp;" "&amp;TEXT($B166," #.##0,00"),0)))</f>
        <v>0</v>
      </c>
      <c r="AD166" s="111">
        <f>+IF(AD$2=$E166,$D166,IF(AD$2&gt;AD$257,0,IF($C166=AD$2,"RECEBER"&amp;" "&amp;TEXT($B166," #.##0,00"),0)))</f>
        <v>0</v>
      </c>
      <c r="AE166" s="111">
        <f>+IF(AE$2=$E166,$D166,IF(AE$2&gt;AE$257,0,IF($C166=AE$2,"RECEBER"&amp;" "&amp;TEXT($B166," #.##0,00"),0)))</f>
        <v>0</v>
      </c>
      <c r="AF166" s="111">
        <f>+IF(AF$2=$E166,$D166,IF(AF$2&gt;AF$257,0,IF($C166=AF$2,"RECEBER"&amp;" "&amp;TEXT($B166," #.##0,00"),0)))</f>
        <v>0</v>
      </c>
      <c r="AG166" s="111">
        <f>+IF(AG$2=$E166,$D166,IF(AG$2&gt;AG$257,0,IF($C166=AG$2,"RECEBER"&amp;" "&amp;TEXT($B166," #.##0,00"),0)))</f>
        <v>0</v>
      </c>
      <c r="AH166" s="111">
        <f>+IF(AH$2=$E166,$D166,IF(AH$2&gt;AH$257,0,IF($C166=AH$2,"RECEBER"&amp;" "&amp;TEXT($B166," #.##0,00"),0)))</f>
        <v>0</v>
      </c>
      <c r="AI166" s="111">
        <f>+IF(AI$2=$E166,$D166,IF(AI$2&gt;AI$257,0,IF($C166=AI$2,"RECEBER"&amp;" "&amp;TEXT($B166," #.##0,00"),0)))</f>
        <v>0</v>
      </c>
      <c r="AJ166" s="111">
        <f>+IF(AJ$2=$E166,$D166,IF(AJ$2&gt;AJ$257,0,IF($C166=AJ$2,"RECEBER"&amp;" "&amp;TEXT($B166," #.##0,00"),0)))</f>
        <v>0</v>
      </c>
      <c r="AK166" s="111">
        <f>+IF(AK$2=$E166,$D166,IF(AK$2&gt;AK$257,0,IF($C166=AK$2,"RECEBER"&amp;" "&amp;TEXT($B166," #.##0,00"),0)))</f>
        <v>0</v>
      </c>
      <c r="AL166" s="111">
        <f>+IF(AL$2=$E166,$D166,IF(AL$2&gt;AL$257,0,IF($C166=AL$2,"RECEBER"&amp;" "&amp;TEXT($B166," #.##0,00"),0)))</f>
        <v>0</v>
      </c>
      <c r="AM166" s="111">
        <f>+IF(AM$2=$E166,$D166,IF(AM$2&gt;AM$257,0,IF($C166=AM$2,"RECEBER"&amp;" "&amp;TEXT($B166," #.##0,00"),0)))</f>
        <v>0</v>
      </c>
      <c r="AN166" s="191"/>
      <c r="AO166" s="191"/>
    </row>
    <row r="167" spans="1:41" x14ac:dyDescent="0.25">
      <c r="A167" s="212"/>
      <c r="B167" s="90"/>
      <c r="C167" s="91"/>
      <c r="D167" s="97"/>
      <c r="E167" s="121"/>
      <c r="F167" s="84">
        <f t="shared" si="38"/>
        <v>0</v>
      </c>
      <c r="G167" s="86"/>
      <c r="H167" s="114"/>
      <c r="I167" s="111">
        <f>+IF(I$2=$E167,$D167,IF(I$2&gt;I$257,0,IF($C167=I$2,"RECEBER"&amp;" "&amp;TEXT($B167," #.##0,00"),IF($C167=-1,"RECEBER"&amp;" "&amp;TEXT($B167," #.##0,00"),0))))</f>
        <v>0</v>
      </c>
      <c r="J167" s="111">
        <f>+IF(J$2=$E167,$D167,IF(J$2&gt;J$257,0,IF($C167=J$2,"RECEBER"&amp;" "&amp;TEXT($B167," #.##0,00"),0)))</f>
        <v>0</v>
      </c>
      <c r="K167" s="111">
        <f>+IF(K$2=$E167,$D167,IF(K$2&gt;K$257,0,IF($C167=K$2,"RECEBER"&amp;" "&amp;TEXT($B167," #.##0,00"),0)))</f>
        <v>0</v>
      </c>
      <c r="L167" s="111">
        <f>+IF(L$2=$E167,$D167,IF(L$2&gt;L$257,0,IF($C167=L$2,"RECEBER"&amp;" "&amp;TEXT($B167," #.##0,00"),0)))</f>
        <v>0</v>
      </c>
      <c r="M167" s="111">
        <f>+IF(M$2=$E167,$D167,IF(M$2&gt;M$257,0,IF($C167=M$2,"RECEBER"&amp;" "&amp;TEXT($B167," #.##0,00"),0)))</f>
        <v>0</v>
      </c>
      <c r="N167" s="111">
        <f>+IF(N$2=$E167,$D167,IF(N$2&gt;N$257,0,IF($C167=N$2,"RECEBER"&amp;" "&amp;TEXT($B167," #.##0,00"),0)))</f>
        <v>0</v>
      </c>
      <c r="O167" s="111">
        <f>+IF(O$2=$E167,$D167,IF(O$2&gt;O$257,0,IF($C167=O$2,"RECEBER"&amp;" "&amp;TEXT($B167," #.##0,00"),0)))</f>
        <v>0</v>
      </c>
      <c r="P167" s="111">
        <f>+IF(P$2=$E167,$D167,IF(P$2&gt;P$257,0,IF($C167=P$2,"RECEBER"&amp;" "&amp;TEXT($B167," #.##0,00"),0)))</f>
        <v>0</v>
      </c>
      <c r="Q167" s="111">
        <f>+IF(Q$2=$E167,$D167,IF(Q$2&gt;Q$257,0,IF($C167=Q$2,"RECEBER"&amp;" "&amp;TEXT($B167," #.##0,00"),0)))</f>
        <v>0</v>
      </c>
      <c r="R167" s="111">
        <f>+IF(R$2=$E167,$D167,IF(R$2&gt;R$257,0,IF($C167=R$2,"RECEBER"&amp;" "&amp;TEXT($B167," #.##0,00"),0)))</f>
        <v>0</v>
      </c>
      <c r="S167" s="111">
        <f>+IF(S$2=$E167,$D167,IF(S$2&gt;S$257,0,IF($C167=S$2,"RECEBER"&amp;" "&amp;TEXT($B167," #.##0,00"),0)))</f>
        <v>0</v>
      </c>
      <c r="T167" s="111">
        <f>+IF(T$2=$E167,$D167,IF(T$2&gt;T$257,0,IF($C167=T$2,"RECEBER"&amp;" "&amp;TEXT($B167," #.##0,00"),0)))</f>
        <v>0</v>
      </c>
      <c r="U167" s="111">
        <f>+IF(U$2=$E167,$D167,IF(U$2&gt;U$257,0,IF($C167=U$2,"RECEBER"&amp;" "&amp;TEXT($B167," #.##0,00"),0)))</f>
        <v>0</v>
      </c>
      <c r="V167" s="111">
        <f>+IF(V$2=$E167,$D167,IF(V$2&gt;V$257,0,IF($C167=V$2,"RECEBER"&amp;" "&amp;TEXT($B167," #.##0,00"),0)))</f>
        <v>0</v>
      </c>
      <c r="W167" s="111">
        <f>+IF(W$2=$E167,$D167,IF(W$2&gt;W$257,0,IF($C167=W$2,"RECEBER"&amp;" "&amp;TEXT($B167," #.##0,00"),0)))</f>
        <v>0</v>
      </c>
      <c r="X167" s="111">
        <f>+IF(X$2=$E167,$D167,IF(X$2&gt;X$257,0,IF($C167=X$2,"RECEBER"&amp;" "&amp;TEXT($B167," #.##0,00"),0)))</f>
        <v>0</v>
      </c>
      <c r="Y167" s="111">
        <f>+IF(Y$2=$E167,$D167,IF(Y$2&gt;Y$257,0,IF($C167=Y$2,"RECEBER"&amp;" "&amp;TEXT($B167," #.##0,00"),0)))</f>
        <v>0</v>
      </c>
      <c r="Z167" s="111">
        <f>+IF(Z$2=$E167,$D167,IF(Z$2&gt;Z$257,0,IF($C167=Z$2,"RECEBER"&amp;" "&amp;TEXT($B167," #.##0,00"),0)))</f>
        <v>0</v>
      </c>
      <c r="AA167" s="111">
        <f>+IF(AA$2=$E167,$D167,IF(AA$2&gt;AA$257,0,IF($C167=AA$2,"RECEBER"&amp;" "&amp;TEXT($B167," #.##0,00"),0)))</f>
        <v>0</v>
      </c>
      <c r="AB167" s="111">
        <f>+IF(AB$2=$E167,$D167,IF(AB$2&gt;AB$257,0,IF($C167=AB$2,"RECEBER"&amp;" "&amp;TEXT($B167," #.##0,00"),0)))</f>
        <v>0</v>
      </c>
      <c r="AC167" s="111">
        <f>+IF(AC$2=$E167,$D167,IF(AC$2&gt;AC$257,0,IF($C167=AC$2,"RECEBER"&amp;" "&amp;TEXT($B167," #.##0,00"),0)))</f>
        <v>0</v>
      </c>
      <c r="AD167" s="111">
        <f>+IF(AD$2=$E167,$D167,IF(AD$2&gt;AD$257,0,IF($C167=AD$2,"RECEBER"&amp;" "&amp;TEXT($B167," #.##0,00"),0)))</f>
        <v>0</v>
      </c>
      <c r="AE167" s="111">
        <f>+IF(AE$2=$E167,$D167,IF(AE$2&gt;AE$257,0,IF($C167=AE$2,"RECEBER"&amp;" "&amp;TEXT($B167," #.##0,00"),0)))</f>
        <v>0</v>
      </c>
      <c r="AF167" s="111">
        <f>+IF(AF$2=$E167,$D167,IF(AF$2&gt;AF$257,0,IF($C167=AF$2,"RECEBER"&amp;" "&amp;TEXT($B167," #.##0,00"),0)))</f>
        <v>0</v>
      </c>
      <c r="AG167" s="111">
        <f>+IF(AG$2=$E167,$D167,IF(AG$2&gt;AG$257,0,IF($C167=AG$2,"RECEBER"&amp;" "&amp;TEXT($B167," #.##0,00"),0)))</f>
        <v>0</v>
      </c>
      <c r="AH167" s="111">
        <f>+IF(AH$2=$E167,$D167,IF(AH$2&gt;AH$257,0,IF($C167=AH$2,"RECEBER"&amp;" "&amp;TEXT($B167," #.##0,00"),0)))</f>
        <v>0</v>
      </c>
      <c r="AI167" s="111">
        <f>+IF(AI$2=$E167,$D167,IF(AI$2&gt;AI$257,0,IF($C167=AI$2,"RECEBER"&amp;" "&amp;TEXT($B167," #.##0,00"),0)))</f>
        <v>0</v>
      </c>
      <c r="AJ167" s="111">
        <f>+IF(AJ$2=$E167,$D167,IF(AJ$2&gt;AJ$257,0,IF($C167=AJ$2,"RECEBER"&amp;" "&amp;TEXT($B167," #.##0,00"),0)))</f>
        <v>0</v>
      </c>
      <c r="AK167" s="111">
        <f>+IF(AK$2=$E167,$D167,IF(AK$2&gt;AK$257,0,IF($C167=AK$2,"RECEBER"&amp;" "&amp;TEXT($B167," #.##0,00"),0)))</f>
        <v>0</v>
      </c>
      <c r="AL167" s="111">
        <f>+IF(AL$2=$E167,$D167,IF(AL$2&gt;AL$257,0,IF($C167=AL$2,"RECEBER"&amp;" "&amp;TEXT($B167," #.##0,00"),0)))</f>
        <v>0</v>
      </c>
      <c r="AM167" s="111">
        <f>+IF(AM$2=$E167,$D167,IF(AM$2&gt;AM$257,0,IF($C167=AM$2,"RECEBER"&amp;" "&amp;TEXT($B167," #.##0,00"),0)))</f>
        <v>0</v>
      </c>
      <c r="AN167" s="191"/>
      <c r="AO167" s="191"/>
    </row>
    <row r="168" spans="1:41" x14ac:dyDescent="0.25">
      <c r="A168" s="212"/>
      <c r="B168" s="90"/>
      <c r="C168" s="91"/>
      <c r="D168" s="97"/>
      <c r="E168" s="121"/>
      <c r="F168" s="84">
        <f t="shared" si="38"/>
        <v>0</v>
      </c>
      <c r="G168" s="86"/>
      <c r="H168" s="114"/>
      <c r="I168" s="111">
        <f>+IF(I$2=$E168,$D168,IF(I$2&gt;I$257,0,IF($C168=I$2,"RECEBER"&amp;" "&amp;TEXT($B168," #.##0,00"),IF($C168=-1,"RECEBER"&amp;" "&amp;TEXT($B168," #.##0,00"),0))))</f>
        <v>0</v>
      </c>
      <c r="J168" s="111">
        <f>+IF(J$2=$E168,$D168,IF(J$2&gt;J$257,0,IF($C168=J$2,"RECEBER"&amp;" "&amp;TEXT($B168," #.##0,00"),0)))</f>
        <v>0</v>
      </c>
      <c r="K168" s="111">
        <f>+IF(K$2=$E168,$D168,IF(K$2&gt;K$257,0,IF($C168=K$2,"RECEBER"&amp;" "&amp;TEXT($B168," #.##0,00"),0)))</f>
        <v>0</v>
      </c>
      <c r="L168" s="111">
        <f>+IF(L$2=$E168,$D168,IF(L$2&gt;L$257,0,IF($C168=L$2,"RECEBER"&amp;" "&amp;TEXT($B168," #.##0,00"),0)))</f>
        <v>0</v>
      </c>
      <c r="M168" s="111">
        <f>+IF(M$2=$E168,$D168,IF(M$2&gt;M$257,0,IF($C168=M$2,"RECEBER"&amp;" "&amp;TEXT($B168," #.##0,00"),0)))</f>
        <v>0</v>
      </c>
      <c r="N168" s="111">
        <f>+IF(N$2=$E168,$D168,IF(N$2&gt;N$257,0,IF($C168=N$2,"RECEBER"&amp;" "&amp;TEXT($B168," #.##0,00"),0)))</f>
        <v>0</v>
      </c>
      <c r="O168" s="111">
        <f>+IF(O$2=$E168,$D168,IF(O$2&gt;O$257,0,IF($C168=O$2,"RECEBER"&amp;" "&amp;TEXT($B168," #.##0,00"),0)))</f>
        <v>0</v>
      </c>
      <c r="P168" s="111">
        <f>+IF(P$2=$E168,$D168,IF(P$2&gt;P$257,0,IF($C168=P$2,"RECEBER"&amp;" "&amp;TEXT($B168," #.##0,00"),0)))</f>
        <v>0</v>
      </c>
      <c r="Q168" s="111">
        <f>+IF(Q$2=$E168,$D168,IF(Q$2&gt;Q$257,0,IF($C168=Q$2,"RECEBER"&amp;" "&amp;TEXT($B168," #.##0,00"),0)))</f>
        <v>0</v>
      </c>
      <c r="R168" s="111">
        <f>+IF(R$2=$E168,$D168,IF(R$2&gt;R$257,0,IF($C168=R$2,"RECEBER"&amp;" "&amp;TEXT($B168," #.##0,00"),0)))</f>
        <v>0</v>
      </c>
      <c r="S168" s="111">
        <f>+IF(S$2=$E168,$D168,IF(S$2&gt;S$257,0,IF($C168=S$2,"RECEBER"&amp;" "&amp;TEXT($B168," #.##0,00"),0)))</f>
        <v>0</v>
      </c>
      <c r="T168" s="111">
        <f>+IF(T$2=$E168,$D168,IF(T$2&gt;T$257,0,IF($C168=T$2,"RECEBER"&amp;" "&amp;TEXT($B168," #.##0,00"),0)))</f>
        <v>0</v>
      </c>
      <c r="U168" s="111">
        <f>+IF(U$2=$E168,$D168,IF(U$2&gt;U$257,0,IF($C168=U$2,"RECEBER"&amp;" "&amp;TEXT($B168," #.##0,00"),0)))</f>
        <v>0</v>
      </c>
      <c r="V168" s="111">
        <f>+IF(V$2=$E168,$D168,IF(V$2&gt;V$257,0,IF($C168=V$2,"RECEBER"&amp;" "&amp;TEXT($B168," #.##0,00"),0)))</f>
        <v>0</v>
      </c>
      <c r="W168" s="111">
        <f>+IF(W$2=$E168,$D168,IF(W$2&gt;W$257,0,IF($C168=W$2,"RECEBER"&amp;" "&amp;TEXT($B168," #.##0,00"),0)))</f>
        <v>0</v>
      </c>
      <c r="X168" s="111">
        <f>+IF(X$2=$E168,$D168,IF(X$2&gt;X$257,0,IF($C168=X$2,"RECEBER"&amp;" "&amp;TEXT($B168," #.##0,00"),0)))</f>
        <v>0</v>
      </c>
      <c r="Y168" s="111">
        <f>+IF(Y$2=$E168,$D168,IF(Y$2&gt;Y$257,0,IF($C168=Y$2,"RECEBER"&amp;" "&amp;TEXT($B168," #.##0,00"),0)))</f>
        <v>0</v>
      </c>
      <c r="Z168" s="111">
        <f>+IF(Z$2=$E168,$D168,IF(Z$2&gt;Z$257,0,IF($C168=Z$2,"RECEBER"&amp;" "&amp;TEXT($B168," #.##0,00"),0)))</f>
        <v>0</v>
      </c>
      <c r="AA168" s="111">
        <f>+IF(AA$2=$E168,$D168,IF(AA$2&gt;AA$257,0,IF($C168=AA$2,"RECEBER"&amp;" "&amp;TEXT($B168," #.##0,00"),0)))</f>
        <v>0</v>
      </c>
      <c r="AB168" s="111">
        <f>+IF(AB$2=$E168,$D168,IF(AB$2&gt;AB$257,0,IF($C168=AB$2,"RECEBER"&amp;" "&amp;TEXT($B168," #.##0,00"),0)))</f>
        <v>0</v>
      </c>
      <c r="AC168" s="111">
        <f>+IF(AC$2=$E168,$D168,IF(AC$2&gt;AC$257,0,IF($C168=AC$2,"RECEBER"&amp;" "&amp;TEXT($B168," #.##0,00"),0)))</f>
        <v>0</v>
      </c>
      <c r="AD168" s="111">
        <f>+IF(AD$2=$E168,$D168,IF(AD$2&gt;AD$257,0,IF($C168=AD$2,"RECEBER"&amp;" "&amp;TEXT($B168," #.##0,00"),0)))</f>
        <v>0</v>
      </c>
      <c r="AE168" s="111">
        <f>+IF(AE$2=$E168,$D168,IF(AE$2&gt;AE$257,0,IF($C168=AE$2,"RECEBER"&amp;" "&amp;TEXT($B168," #.##0,00"),0)))</f>
        <v>0</v>
      </c>
      <c r="AF168" s="111">
        <f>+IF(AF$2=$E168,$D168,IF(AF$2&gt;AF$257,0,IF($C168=AF$2,"RECEBER"&amp;" "&amp;TEXT($B168," #.##0,00"),0)))</f>
        <v>0</v>
      </c>
      <c r="AG168" s="111">
        <f>+IF(AG$2=$E168,$D168,IF(AG$2&gt;AG$257,0,IF($C168=AG$2,"RECEBER"&amp;" "&amp;TEXT($B168," #.##0,00"),0)))</f>
        <v>0</v>
      </c>
      <c r="AH168" s="111">
        <f>+IF(AH$2=$E168,$D168,IF(AH$2&gt;AH$257,0,IF($C168=AH$2,"RECEBER"&amp;" "&amp;TEXT($B168," #.##0,00"),0)))</f>
        <v>0</v>
      </c>
      <c r="AI168" s="111">
        <f>+IF(AI$2=$E168,$D168,IF(AI$2&gt;AI$257,0,IF($C168=AI$2,"RECEBER"&amp;" "&amp;TEXT($B168," #.##0,00"),0)))</f>
        <v>0</v>
      </c>
      <c r="AJ168" s="111">
        <f>+IF(AJ$2=$E168,$D168,IF(AJ$2&gt;AJ$257,0,IF($C168=AJ$2,"RECEBER"&amp;" "&amp;TEXT($B168," #.##0,00"),0)))</f>
        <v>0</v>
      </c>
      <c r="AK168" s="111">
        <f>+IF(AK$2=$E168,$D168,IF(AK$2&gt;AK$257,0,IF($C168=AK$2,"RECEBER"&amp;" "&amp;TEXT($B168," #.##0,00"),0)))</f>
        <v>0</v>
      </c>
      <c r="AL168" s="111">
        <f>+IF(AL$2=$E168,$D168,IF(AL$2&gt;AL$257,0,IF($C168=AL$2,"RECEBER"&amp;" "&amp;TEXT($B168," #.##0,00"),0)))</f>
        <v>0</v>
      </c>
      <c r="AM168" s="111">
        <f>+IF(AM$2=$E168,$D168,IF(AM$2&gt;AM$257,0,IF($C168=AM$2,"RECEBER"&amp;" "&amp;TEXT($B168," #.##0,00"),0)))</f>
        <v>0</v>
      </c>
      <c r="AN168" s="191"/>
      <c r="AO168" s="191"/>
    </row>
    <row r="169" spans="1:41" x14ac:dyDescent="0.25">
      <c r="A169" s="186" t="s">
        <v>212</v>
      </c>
      <c r="B169" s="187">
        <f>SUM(B159:B168)</f>
        <v>226600</v>
      </c>
      <c r="C169" s="188"/>
      <c r="D169" s="290"/>
      <c r="E169" s="289"/>
      <c r="F169" s="187">
        <f ca="1">+SUM(F160:F168)</f>
        <v>10600</v>
      </c>
      <c r="G169" s="189"/>
      <c r="H169" s="114"/>
      <c r="I169" s="190">
        <f>+PLAN2!H168</f>
        <v>9000</v>
      </c>
      <c r="J169" s="190">
        <f>+PLAN2!I168</f>
        <v>9000</v>
      </c>
      <c r="K169" s="190">
        <f>+PLAN2!J168</f>
        <v>14200</v>
      </c>
      <c r="L169" s="190">
        <f>+PLAN2!K168</f>
        <v>0</v>
      </c>
      <c r="M169" s="190">
        <f>+PLAN2!L168</f>
        <v>9000</v>
      </c>
      <c r="N169" s="190">
        <f>+PLAN2!M168</f>
        <v>9000</v>
      </c>
      <c r="O169" s="190">
        <f>+PLAN2!N168</f>
        <v>9000</v>
      </c>
      <c r="P169" s="190">
        <f>+PLAN2!O168</f>
        <v>9000</v>
      </c>
      <c r="Q169" s="190">
        <f>+PLAN2!P168</f>
        <v>9000</v>
      </c>
      <c r="R169" s="190">
        <f>+PLAN2!Q168</f>
        <v>3600</v>
      </c>
      <c r="S169" s="190">
        <f>+PLAN2!R168</f>
        <v>0</v>
      </c>
      <c r="T169" s="190">
        <f>+PLAN2!S168</f>
        <v>9000</v>
      </c>
      <c r="U169" s="190">
        <f>+PLAN2!T168</f>
        <v>9000</v>
      </c>
      <c r="V169" s="190">
        <f>+PLAN2!U168</f>
        <v>9000</v>
      </c>
      <c r="W169" s="190">
        <f>+PLAN2!V168</f>
        <v>9000</v>
      </c>
      <c r="X169" s="190">
        <f>+PLAN2!W168</f>
        <v>9000</v>
      </c>
      <c r="Y169" s="190">
        <f>+PLAN2!X168</f>
        <v>3600</v>
      </c>
      <c r="Z169" s="190">
        <f>+PLAN2!Y168</f>
        <v>0</v>
      </c>
      <c r="AA169" s="190">
        <f>+PLAN2!Z168</f>
        <v>9000</v>
      </c>
      <c r="AB169" s="190">
        <f>+PLAN2!AA168</f>
        <v>9000</v>
      </c>
      <c r="AC169" s="190">
        <f>+PLAN2!AB168</f>
        <v>9000</v>
      </c>
      <c r="AD169" s="190">
        <f>+PLAN2!AC168</f>
        <v>9000</v>
      </c>
      <c r="AE169" s="190">
        <f>+PLAN2!AD168</f>
        <v>9000</v>
      </c>
      <c r="AF169" s="190">
        <f>+PLAN2!AE168</f>
        <v>3600</v>
      </c>
      <c r="AG169" s="190">
        <f>+PLAN2!AF168</f>
        <v>0</v>
      </c>
      <c r="AH169" s="190">
        <f>+PLAN2!AG168</f>
        <v>9000</v>
      </c>
      <c r="AI169" s="190">
        <f>+PLAN2!AH168</f>
        <v>9000</v>
      </c>
      <c r="AJ169" s="190">
        <f>+PLAN2!AI168</f>
        <v>9000</v>
      </c>
      <c r="AK169" s="190">
        <f>+PLAN2!AJ168</f>
        <v>9000</v>
      </c>
      <c r="AL169" s="190">
        <f>+PLAN2!AK168</f>
        <v>9000</v>
      </c>
      <c r="AM169" s="190">
        <f>+PLAN2!AL168</f>
        <v>3600</v>
      </c>
      <c r="AN169" s="191"/>
      <c r="AO169" s="191"/>
    </row>
    <row r="170" spans="1:41" x14ac:dyDescent="0.25">
      <c r="A170" s="112" t="s">
        <v>213</v>
      </c>
      <c r="B170" s="6">
        <f>+AM170</f>
        <v>226600</v>
      </c>
      <c r="C170" s="81"/>
      <c r="D170" s="80"/>
      <c r="E170" s="81"/>
      <c r="F170" s="80"/>
      <c r="G170" s="19"/>
      <c r="H170" s="114"/>
      <c r="I170" s="2">
        <f>+I169</f>
        <v>9000</v>
      </c>
      <c r="J170" s="2">
        <f>+J169+I170</f>
        <v>18000</v>
      </c>
      <c r="K170" s="2">
        <f t="shared" ref="K170:AM170" si="39">+K169+J170</f>
        <v>32200</v>
      </c>
      <c r="L170" s="2">
        <f t="shared" si="39"/>
        <v>32200</v>
      </c>
      <c r="M170" s="2">
        <f t="shared" si="39"/>
        <v>41200</v>
      </c>
      <c r="N170" s="2">
        <f t="shared" si="39"/>
        <v>50200</v>
      </c>
      <c r="O170" s="2">
        <f t="shared" si="39"/>
        <v>59200</v>
      </c>
      <c r="P170" s="2">
        <f t="shared" si="39"/>
        <v>68200</v>
      </c>
      <c r="Q170" s="2">
        <f t="shared" si="39"/>
        <v>77200</v>
      </c>
      <c r="R170" s="2">
        <f t="shared" si="39"/>
        <v>80800</v>
      </c>
      <c r="S170" s="2">
        <f t="shared" si="39"/>
        <v>80800</v>
      </c>
      <c r="T170" s="2">
        <f t="shared" si="39"/>
        <v>89800</v>
      </c>
      <c r="U170" s="2">
        <f t="shared" si="39"/>
        <v>98800</v>
      </c>
      <c r="V170" s="2">
        <f t="shared" si="39"/>
        <v>107800</v>
      </c>
      <c r="W170" s="2">
        <f t="shared" si="39"/>
        <v>116800</v>
      </c>
      <c r="X170" s="2">
        <f t="shared" si="39"/>
        <v>125800</v>
      </c>
      <c r="Y170" s="2">
        <f t="shared" si="39"/>
        <v>129400</v>
      </c>
      <c r="Z170" s="2">
        <f t="shared" si="39"/>
        <v>129400</v>
      </c>
      <c r="AA170" s="2">
        <f t="shared" si="39"/>
        <v>138400</v>
      </c>
      <c r="AB170" s="2">
        <f t="shared" si="39"/>
        <v>147400</v>
      </c>
      <c r="AC170" s="2">
        <f t="shared" si="39"/>
        <v>156400</v>
      </c>
      <c r="AD170" s="2">
        <f t="shared" si="39"/>
        <v>165400</v>
      </c>
      <c r="AE170" s="2">
        <f t="shared" si="39"/>
        <v>174400</v>
      </c>
      <c r="AF170" s="2">
        <f t="shared" si="39"/>
        <v>178000</v>
      </c>
      <c r="AG170" s="2">
        <f t="shared" si="39"/>
        <v>178000</v>
      </c>
      <c r="AH170" s="2">
        <f t="shared" si="39"/>
        <v>187000</v>
      </c>
      <c r="AI170" s="2">
        <f t="shared" si="39"/>
        <v>196000</v>
      </c>
      <c r="AJ170" s="2">
        <f t="shared" si="39"/>
        <v>205000</v>
      </c>
      <c r="AK170" s="2">
        <f t="shared" si="39"/>
        <v>214000</v>
      </c>
      <c r="AL170" s="2">
        <f t="shared" si="39"/>
        <v>223000</v>
      </c>
      <c r="AM170" s="2">
        <f t="shared" si="39"/>
        <v>226600</v>
      </c>
      <c r="AN170" s="191"/>
      <c r="AO170" s="191"/>
    </row>
    <row r="171" spans="1:41" x14ac:dyDescent="0.25">
      <c r="A171" s="112" t="s">
        <v>214</v>
      </c>
      <c r="B171" s="6">
        <f>+B169-B154</f>
        <v>55582.399999999907</v>
      </c>
      <c r="C171" s="81"/>
      <c r="D171" s="80"/>
      <c r="E171" s="81"/>
      <c r="F171" s="80"/>
      <c r="G171" s="19"/>
      <c r="H171" s="87"/>
      <c r="I171" s="2">
        <f>+I170-I155</f>
        <v>-4199.619999999999</v>
      </c>
      <c r="J171" s="2">
        <f t="shared" ref="J171:AM171" si="40">+J170-J155</f>
        <v>-3349.619999999999</v>
      </c>
      <c r="K171" s="2">
        <f t="shared" si="40"/>
        <v>8474.48</v>
      </c>
      <c r="L171" s="2">
        <f t="shared" si="40"/>
        <v>8451.489999999998</v>
      </c>
      <c r="M171" s="2">
        <f t="shared" si="40"/>
        <v>5069.5299999999988</v>
      </c>
      <c r="N171" s="2">
        <f t="shared" si="40"/>
        <v>-975.05999999999767</v>
      </c>
      <c r="O171" s="2">
        <f t="shared" si="40"/>
        <v>1620.5299999999988</v>
      </c>
      <c r="P171" s="2">
        <f t="shared" si="40"/>
        <v>14.479999999995925</v>
      </c>
      <c r="Q171" s="2">
        <f t="shared" si="40"/>
        <v>40.130000000004657</v>
      </c>
      <c r="R171" s="2">
        <f t="shared" si="40"/>
        <v>1054.5100000000093</v>
      </c>
      <c r="S171" s="2">
        <f t="shared" si="40"/>
        <v>-8545.2099999999919</v>
      </c>
      <c r="T171" s="2">
        <f t="shared" si="40"/>
        <v>-6604.8499999999913</v>
      </c>
      <c r="U171" s="2">
        <f t="shared" si="40"/>
        <v>-423.2899999999936</v>
      </c>
      <c r="V171" s="2">
        <f t="shared" si="40"/>
        <v>8576.7100000000064</v>
      </c>
      <c r="W171" s="2">
        <f t="shared" si="40"/>
        <v>4270.6300000000047</v>
      </c>
      <c r="X171" s="2">
        <f t="shared" si="40"/>
        <v>13270.630000000005</v>
      </c>
      <c r="Y171" s="2">
        <f t="shared" si="40"/>
        <v>15860.630000000005</v>
      </c>
      <c r="Z171" s="2">
        <f t="shared" si="40"/>
        <v>15860.630000000005</v>
      </c>
      <c r="AA171" s="2">
        <f t="shared" si="40"/>
        <v>17960.630000000005</v>
      </c>
      <c r="AB171" s="2">
        <f t="shared" si="40"/>
        <v>12740.630000000005</v>
      </c>
      <c r="AC171" s="2">
        <f t="shared" si="40"/>
        <v>21740.630000000005</v>
      </c>
      <c r="AD171" s="2">
        <f t="shared" si="40"/>
        <v>30643.640000000014</v>
      </c>
      <c r="AE171" s="2">
        <f t="shared" si="40"/>
        <v>35266.560000000027</v>
      </c>
      <c r="AF171" s="2">
        <f t="shared" si="40"/>
        <v>38866.560000000027</v>
      </c>
      <c r="AG171" s="2">
        <f t="shared" si="40"/>
        <v>33320.400000000023</v>
      </c>
      <c r="AH171" s="2">
        <f t="shared" si="40"/>
        <v>29310.270000000019</v>
      </c>
      <c r="AI171" s="2">
        <f t="shared" si="40"/>
        <v>37786.200000000012</v>
      </c>
      <c r="AJ171" s="2">
        <f t="shared" si="40"/>
        <v>39446.350000000006</v>
      </c>
      <c r="AK171" s="2">
        <f t="shared" si="40"/>
        <v>48446.350000000006</v>
      </c>
      <c r="AL171" s="2">
        <f t="shared" si="40"/>
        <v>51982.399999999994</v>
      </c>
      <c r="AM171" s="2">
        <f t="shared" si="40"/>
        <v>55582.399999999994</v>
      </c>
      <c r="AN171" s="191"/>
      <c r="AO171" s="191"/>
    </row>
    <row r="172" spans="1:41" x14ac:dyDescent="0.25">
      <c r="A172" s="172" t="s">
        <v>74</v>
      </c>
      <c r="B172" s="181">
        <f>+SUM(I172:AM172)</f>
        <v>20000</v>
      </c>
      <c r="C172" s="177"/>
      <c r="D172" s="176"/>
      <c r="E172" s="177"/>
      <c r="F172" s="176"/>
      <c r="G172" s="175"/>
      <c r="H172" s="11"/>
      <c r="I172" s="196">
        <v>10000</v>
      </c>
      <c r="J172" s="196">
        <v>5000</v>
      </c>
      <c r="K172" s="196">
        <v>0</v>
      </c>
      <c r="L172" s="196">
        <v>0</v>
      </c>
      <c r="M172" s="196">
        <v>5000</v>
      </c>
      <c r="N172" s="196">
        <v>0</v>
      </c>
      <c r="O172" s="196">
        <v>0</v>
      </c>
      <c r="P172" s="196">
        <v>0</v>
      </c>
      <c r="Q172" s="196">
        <v>0</v>
      </c>
      <c r="R172" s="196">
        <v>0</v>
      </c>
      <c r="S172" s="196">
        <v>0</v>
      </c>
      <c r="T172" s="196">
        <v>0</v>
      </c>
      <c r="U172" s="196">
        <v>0</v>
      </c>
      <c r="V172" s="196">
        <v>0</v>
      </c>
      <c r="W172" s="196">
        <v>0</v>
      </c>
      <c r="X172" s="196">
        <v>0</v>
      </c>
      <c r="Y172" s="196">
        <v>0</v>
      </c>
      <c r="Z172" s="196">
        <v>0</v>
      </c>
      <c r="AA172" s="196">
        <v>0</v>
      </c>
      <c r="AB172" s="196">
        <v>0</v>
      </c>
      <c r="AC172" s="196">
        <v>0</v>
      </c>
      <c r="AD172" s="196">
        <v>0</v>
      </c>
      <c r="AE172" s="196">
        <v>0</v>
      </c>
      <c r="AF172" s="196">
        <v>0</v>
      </c>
      <c r="AG172" s="196">
        <v>0</v>
      </c>
      <c r="AH172" s="196">
        <v>0</v>
      </c>
      <c r="AI172" s="196">
        <v>0</v>
      </c>
      <c r="AJ172" s="196">
        <v>0</v>
      </c>
      <c r="AK172" s="196">
        <v>0</v>
      </c>
      <c r="AL172" s="196">
        <v>0</v>
      </c>
      <c r="AM172" s="196">
        <v>0</v>
      </c>
      <c r="AN172" s="191"/>
      <c r="AO172" s="191"/>
    </row>
    <row r="173" spans="1:41" x14ac:dyDescent="0.25">
      <c r="A173" s="172" t="s">
        <v>75</v>
      </c>
      <c r="B173" s="179"/>
      <c r="C173" s="177"/>
      <c r="D173" s="176"/>
      <c r="E173" s="177"/>
      <c r="F173" s="176"/>
      <c r="G173" s="175"/>
      <c r="H173" s="11"/>
      <c r="I173" s="178">
        <f>+I172</f>
        <v>10000</v>
      </c>
      <c r="J173" s="178">
        <f>+I173+J172</f>
        <v>15000</v>
      </c>
      <c r="K173" s="178">
        <f t="shared" ref="K173" si="41">+J173+K172</f>
        <v>15000</v>
      </c>
      <c r="L173" s="178">
        <f t="shared" ref="L173" si="42">+K173+L172</f>
        <v>15000</v>
      </c>
      <c r="M173" s="178">
        <f t="shared" ref="M173" si="43">+L173+M172</f>
        <v>20000</v>
      </c>
      <c r="N173" s="178">
        <f t="shared" ref="N173" si="44">+M173+N172</f>
        <v>20000</v>
      </c>
      <c r="O173" s="178">
        <f t="shared" ref="O173" si="45">+N173+O172</f>
        <v>20000</v>
      </c>
      <c r="P173" s="178">
        <f t="shared" ref="P173" si="46">+O173+P172</f>
        <v>20000</v>
      </c>
      <c r="Q173" s="178">
        <f t="shared" ref="Q173" si="47">+P173+Q172</f>
        <v>20000</v>
      </c>
      <c r="R173" s="178">
        <f t="shared" ref="R173" si="48">+Q173+R172</f>
        <v>20000</v>
      </c>
      <c r="S173" s="178">
        <f t="shared" ref="S173" si="49">+R173+S172</f>
        <v>20000</v>
      </c>
      <c r="T173" s="178">
        <f t="shared" ref="T173" si="50">+S173+T172</f>
        <v>20000</v>
      </c>
      <c r="U173" s="178">
        <f t="shared" ref="U173" si="51">+T173+U172</f>
        <v>20000</v>
      </c>
      <c r="V173" s="178">
        <f t="shared" ref="V173" si="52">+U173+V172</f>
        <v>20000</v>
      </c>
      <c r="W173" s="178">
        <f t="shared" ref="W173" si="53">+V173+W172</f>
        <v>20000</v>
      </c>
      <c r="X173" s="178">
        <f t="shared" ref="X173" si="54">+W173+X172</f>
        <v>20000</v>
      </c>
      <c r="Y173" s="178">
        <f t="shared" ref="Y173" si="55">+X173+Y172</f>
        <v>20000</v>
      </c>
      <c r="Z173" s="178">
        <f t="shared" ref="Z173" si="56">+Y173+Z172</f>
        <v>20000</v>
      </c>
      <c r="AA173" s="178">
        <f t="shared" ref="AA173" si="57">+Z173+AA172</f>
        <v>20000</v>
      </c>
      <c r="AB173" s="178">
        <f t="shared" ref="AB173" si="58">+AA173+AB172</f>
        <v>20000</v>
      </c>
      <c r="AC173" s="178">
        <f t="shared" ref="AC173" si="59">+AB173+AC172</f>
        <v>20000</v>
      </c>
      <c r="AD173" s="178">
        <f t="shared" ref="AD173" si="60">+AC173+AD172</f>
        <v>20000</v>
      </c>
      <c r="AE173" s="178">
        <f t="shared" ref="AE173" si="61">+AD173+AE172</f>
        <v>20000</v>
      </c>
      <c r="AF173" s="178">
        <f t="shared" ref="AF173" si="62">+AE173+AF172</f>
        <v>20000</v>
      </c>
      <c r="AG173" s="178">
        <f t="shared" ref="AG173" si="63">+AF173+AG172</f>
        <v>20000</v>
      </c>
      <c r="AH173" s="178">
        <f t="shared" ref="AH173" si="64">+AG173+AH172</f>
        <v>20000</v>
      </c>
      <c r="AI173" s="178">
        <f t="shared" ref="AI173" si="65">+AH173+AI172</f>
        <v>20000</v>
      </c>
      <c r="AJ173" s="178">
        <f t="shared" ref="AJ173" si="66">+AI173+AJ172</f>
        <v>20000</v>
      </c>
      <c r="AK173" s="178">
        <f t="shared" ref="AK173" si="67">+AJ173+AK172</f>
        <v>20000</v>
      </c>
      <c r="AL173" s="178">
        <f t="shared" ref="AL173" si="68">+AK173+AL172</f>
        <v>20000</v>
      </c>
      <c r="AM173" s="178">
        <f t="shared" ref="AM173" si="69">+AL173+AM172</f>
        <v>20000</v>
      </c>
      <c r="AN173" s="191"/>
      <c r="AO173" s="191"/>
    </row>
    <row r="174" spans="1:41" x14ac:dyDescent="0.25">
      <c r="A174" s="172" t="s">
        <v>215</v>
      </c>
      <c r="B174" s="181">
        <f>+B172-B156</f>
        <v>10799.86</v>
      </c>
      <c r="C174" s="177"/>
      <c r="D174" s="179"/>
      <c r="E174" s="177"/>
      <c r="F174" s="179"/>
      <c r="G174" s="182"/>
      <c r="H174" s="11"/>
      <c r="I174" s="178">
        <f t="shared" ref="I174:AM174" si="70">+I173-I157</f>
        <v>10000</v>
      </c>
      <c r="J174" s="178">
        <f t="shared" si="70"/>
        <v>8350</v>
      </c>
      <c r="K174" s="178">
        <f t="shared" si="70"/>
        <v>8350</v>
      </c>
      <c r="L174" s="178">
        <f t="shared" si="70"/>
        <v>8350</v>
      </c>
      <c r="M174" s="178">
        <f t="shared" si="70"/>
        <v>13350</v>
      </c>
      <c r="N174" s="178">
        <f t="shared" si="70"/>
        <v>13350</v>
      </c>
      <c r="O174" s="178">
        <f t="shared" si="70"/>
        <v>13350</v>
      </c>
      <c r="P174" s="178">
        <f t="shared" si="70"/>
        <v>13350</v>
      </c>
      <c r="Q174" s="178">
        <f t="shared" si="70"/>
        <v>13350</v>
      </c>
      <c r="R174" s="178">
        <f t="shared" si="70"/>
        <v>12579.93</v>
      </c>
      <c r="S174" s="178">
        <f t="shared" si="70"/>
        <v>12579.93</v>
      </c>
      <c r="T174" s="178">
        <f t="shared" si="70"/>
        <v>10799.86</v>
      </c>
      <c r="U174" s="178">
        <f t="shared" si="70"/>
        <v>10799.86</v>
      </c>
      <c r="V174" s="178">
        <f t="shared" si="70"/>
        <v>10799.86</v>
      </c>
      <c r="W174" s="178">
        <f t="shared" si="70"/>
        <v>10799.86</v>
      </c>
      <c r="X174" s="178">
        <f t="shared" si="70"/>
        <v>10799.86</v>
      </c>
      <c r="Y174" s="178">
        <f t="shared" si="70"/>
        <v>10799.86</v>
      </c>
      <c r="Z174" s="178">
        <f t="shared" si="70"/>
        <v>10799.86</v>
      </c>
      <c r="AA174" s="178">
        <f t="shared" si="70"/>
        <v>10799.86</v>
      </c>
      <c r="AB174" s="178">
        <f t="shared" si="70"/>
        <v>10799.86</v>
      </c>
      <c r="AC174" s="178">
        <f t="shared" si="70"/>
        <v>10799.86</v>
      </c>
      <c r="AD174" s="178">
        <f t="shared" si="70"/>
        <v>10799.86</v>
      </c>
      <c r="AE174" s="178">
        <f t="shared" si="70"/>
        <v>10799.86</v>
      </c>
      <c r="AF174" s="178">
        <f t="shared" si="70"/>
        <v>10799.86</v>
      </c>
      <c r="AG174" s="178">
        <f t="shared" si="70"/>
        <v>10799.86</v>
      </c>
      <c r="AH174" s="178">
        <f t="shared" si="70"/>
        <v>10799.86</v>
      </c>
      <c r="AI174" s="178">
        <f t="shared" si="70"/>
        <v>10799.86</v>
      </c>
      <c r="AJ174" s="178">
        <f t="shared" si="70"/>
        <v>10799.86</v>
      </c>
      <c r="AK174" s="178">
        <f t="shared" si="70"/>
        <v>10799.86</v>
      </c>
      <c r="AL174" s="178">
        <f t="shared" si="70"/>
        <v>10799.86</v>
      </c>
      <c r="AM174" s="178">
        <f t="shared" si="70"/>
        <v>10799.86</v>
      </c>
      <c r="AN174" s="191"/>
      <c r="AO174" s="191"/>
    </row>
    <row r="175" spans="1:41" x14ac:dyDescent="0.25">
      <c r="A175" s="115"/>
      <c r="B175" s="7"/>
      <c r="C175" s="7"/>
      <c r="D175" s="7"/>
      <c r="E175" s="7"/>
      <c r="F175" s="7"/>
      <c r="G175" s="8"/>
      <c r="H175" s="8"/>
      <c r="I175" s="180"/>
      <c r="J175" s="180"/>
      <c r="K175" s="8"/>
      <c r="L175" s="8"/>
      <c r="M175" s="8"/>
      <c r="N175" s="8"/>
      <c r="O175" s="8"/>
      <c r="P175" s="8"/>
      <c r="Q175" s="8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191"/>
      <c r="AO175" s="191"/>
    </row>
    <row r="176" spans="1:41" ht="28.5" x14ac:dyDescent="0.45">
      <c r="A176" s="115"/>
      <c r="B176" s="7"/>
      <c r="C176" s="7"/>
      <c r="D176" s="7"/>
      <c r="E176" s="278" t="s">
        <v>28</v>
      </c>
      <c r="G176" s="277">
        <f ca="1">DAY(TODAY())</f>
        <v>13</v>
      </c>
      <c r="H176" s="277">
        <f ca="1">DAY(TODAY())</f>
        <v>13</v>
      </c>
      <c r="I176" s="8"/>
      <c r="J176" s="8"/>
      <c r="K176" s="8"/>
      <c r="L176" s="8"/>
      <c r="M176" s="8"/>
      <c r="N176" s="8"/>
      <c r="O176" s="8"/>
      <c r="P176" s="8"/>
      <c r="Q176" s="8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191"/>
      <c r="AO176" s="191"/>
    </row>
    <row r="177" spans="1:41" x14ac:dyDescent="0.25">
      <c r="A177" s="115"/>
      <c r="B177" s="7"/>
      <c r="C177" s="7"/>
      <c r="D177" s="7"/>
      <c r="E177" s="7"/>
      <c r="F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191"/>
      <c r="AO177" s="191"/>
    </row>
    <row r="178" spans="1:41" x14ac:dyDescent="0.25">
      <c r="A178" s="115"/>
      <c r="B178" s="9"/>
      <c r="C178" s="9"/>
      <c r="D178" s="9"/>
      <c r="E178" s="9"/>
      <c r="F178" s="9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115"/>
      <c r="AG178" s="115"/>
      <c r="AH178" s="115"/>
      <c r="AI178" s="115"/>
      <c r="AJ178" s="115"/>
      <c r="AK178" s="115"/>
      <c r="AL178" s="115"/>
      <c r="AM178" s="115"/>
      <c r="AN178" s="191"/>
      <c r="AO178" s="191"/>
    </row>
    <row r="179" spans="1:41" x14ac:dyDescent="0.25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5"/>
      <c r="AF179" s="115"/>
      <c r="AG179" s="115"/>
      <c r="AH179" s="115"/>
      <c r="AI179" s="115"/>
      <c r="AJ179" s="115"/>
      <c r="AK179" s="115"/>
      <c r="AL179" s="115"/>
      <c r="AM179" s="115"/>
      <c r="AN179" s="191"/>
      <c r="AO179" s="191"/>
    </row>
    <row r="180" spans="1:41" x14ac:dyDescent="0.25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15"/>
      <c r="AF180" s="115"/>
      <c r="AG180" s="115"/>
      <c r="AH180" s="115"/>
      <c r="AI180" s="115"/>
      <c r="AJ180" s="115"/>
      <c r="AK180" s="115"/>
      <c r="AL180" s="115"/>
      <c r="AM180" s="115"/>
      <c r="AN180" s="191"/>
      <c r="AO180" s="191"/>
    </row>
    <row r="181" spans="1:41" x14ac:dyDescent="0.25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115"/>
      <c r="AG181" s="115"/>
      <c r="AH181" s="115"/>
      <c r="AI181" s="115"/>
      <c r="AJ181" s="115"/>
      <c r="AK181" s="115"/>
      <c r="AL181" s="115"/>
      <c r="AM181" s="115"/>
      <c r="AN181" s="191"/>
      <c r="AO181" s="191"/>
    </row>
    <row r="182" spans="1:41" x14ac:dyDescent="0.25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115"/>
      <c r="AG182" s="115"/>
      <c r="AH182" s="115"/>
      <c r="AI182" s="115"/>
      <c r="AJ182" s="115"/>
      <c r="AK182" s="115"/>
      <c r="AL182" s="115"/>
      <c r="AM182" s="115"/>
      <c r="AN182" s="191"/>
      <c r="AO182" s="191"/>
    </row>
    <row r="183" spans="1:41" x14ac:dyDescent="0.25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  <c r="AG183" s="115"/>
      <c r="AH183" s="115"/>
      <c r="AI183" s="115"/>
      <c r="AJ183" s="115"/>
      <c r="AK183" s="115"/>
      <c r="AL183" s="115"/>
      <c r="AM183" s="115"/>
      <c r="AN183" s="191"/>
      <c r="AO183" s="191"/>
    </row>
    <row r="184" spans="1:41" ht="46.5" x14ac:dyDescent="0.7">
      <c r="A184" s="116" t="s">
        <v>9</v>
      </c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  <c r="AG184" s="115"/>
      <c r="AH184" s="115"/>
      <c r="AI184" s="115"/>
      <c r="AJ184" s="115"/>
      <c r="AK184" s="115"/>
      <c r="AL184" s="115"/>
      <c r="AM184" s="115"/>
      <c r="AN184" s="191"/>
      <c r="AO184" s="191"/>
    </row>
    <row r="185" spans="1:41" ht="46.5" x14ac:dyDescent="0.7">
      <c r="A185" s="116" t="s">
        <v>10</v>
      </c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115"/>
      <c r="AJ185" s="115"/>
      <c r="AK185" s="115"/>
      <c r="AL185" s="115"/>
      <c r="AM185" s="115"/>
      <c r="AN185" s="191"/>
      <c r="AO185" s="191"/>
    </row>
    <row r="186" spans="1:41" x14ac:dyDescent="0.25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5"/>
      <c r="AF186" s="115"/>
      <c r="AG186" s="115"/>
      <c r="AH186" s="115"/>
      <c r="AI186" s="115"/>
      <c r="AJ186" s="115"/>
      <c r="AK186" s="115"/>
      <c r="AL186" s="115"/>
      <c r="AM186" s="115"/>
      <c r="AN186" s="191"/>
      <c r="AO186" s="191"/>
    </row>
    <row r="187" spans="1:41" x14ac:dyDescent="0.25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5"/>
      <c r="AF187" s="115"/>
      <c r="AG187" s="115"/>
      <c r="AH187" s="115"/>
      <c r="AI187" s="115"/>
      <c r="AJ187" s="115"/>
      <c r="AK187" s="115"/>
      <c r="AL187" s="115"/>
      <c r="AM187" s="115"/>
      <c r="AN187" s="191"/>
      <c r="AO187" s="191"/>
    </row>
    <row r="188" spans="1:41" x14ac:dyDescent="0.25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15"/>
      <c r="AG188" s="115"/>
      <c r="AH188" s="115"/>
      <c r="AI188" s="115"/>
      <c r="AJ188" s="115"/>
      <c r="AK188" s="115"/>
      <c r="AL188" s="115"/>
      <c r="AM188" s="115"/>
      <c r="AN188" s="191"/>
      <c r="AO188" s="191"/>
    </row>
    <row r="189" spans="1:41" x14ac:dyDescent="0.25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  <c r="AG189" s="115"/>
      <c r="AH189" s="115"/>
      <c r="AI189" s="115"/>
      <c r="AJ189" s="115"/>
      <c r="AK189" s="115"/>
      <c r="AL189" s="115"/>
      <c r="AM189" s="115"/>
      <c r="AN189" s="191"/>
      <c r="AO189" s="191"/>
    </row>
    <row r="190" spans="1:41" x14ac:dyDescent="0.25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15"/>
      <c r="AF190" s="115"/>
      <c r="AG190" s="115"/>
      <c r="AH190" s="115"/>
      <c r="AI190" s="115"/>
      <c r="AJ190" s="115"/>
      <c r="AK190" s="115"/>
      <c r="AL190" s="115"/>
      <c r="AM190" s="115"/>
      <c r="AN190" s="191"/>
      <c r="AO190" s="191"/>
    </row>
    <row r="191" spans="1:41" x14ac:dyDescent="0.25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15"/>
      <c r="AF191" s="115"/>
      <c r="AG191" s="115"/>
      <c r="AH191" s="115"/>
      <c r="AI191" s="115"/>
      <c r="AJ191" s="115"/>
      <c r="AK191" s="115"/>
      <c r="AL191" s="115"/>
      <c r="AM191" s="115"/>
      <c r="AN191" s="191"/>
      <c r="AO191" s="191"/>
    </row>
    <row r="192" spans="1:41" x14ac:dyDescent="0.25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15"/>
      <c r="AF192" s="115"/>
      <c r="AG192" s="115"/>
      <c r="AH192" s="115"/>
      <c r="AI192" s="115"/>
      <c r="AJ192" s="115"/>
      <c r="AK192" s="115"/>
      <c r="AL192" s="115"/>
      <c r="AM192" s="115"/>
      <c r="AN192" s="191"/>
      <c r="AO192" s="191"/>
    </row>
    <row r="193" spans="1:41" x14ac:dyDescent="0.25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15"/>
      <c r="AG193" s="115"/>
      <c r="AH193" s="115"/>
      <c r="AI193" s="115"/>
      <c r="AJ193" s="115"/>
      <c r="AK193" s="115"/>
      <c r="AL193" s="115"/>
      <c r="AM193" s="115"/>
      <c r="AN193" s="191"/>
      <c r="AO193" s="191"/>
    </row>
    <row r="194" spans="1:41" x14ac:dyDescent="0.25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15"/>
      <c r="AG194" s="115"/>
      <c r="AH194" s="115"/>
      <c r="AI194" s="115"/>
      <c r="AJ194" s="115"/>
      <c r="AK194" s="115"/>
      <c r="AL194" s="115"/>
      <c r="AM194" s="115"/>
      <c r="AN194" s="191"/>
      <c r="AO194" s="191"/>
    </row>
    <row r="195" spans="1:41" x14ac:dyDescent="0.2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  <c r="AG195" s="115"/>
      <c r="AH195" s="115"/>
      <c r="AI195" s="115"/>
      <c r="AJ195" s="115"/>
      <c r="AK195" s="115"/>
      <c r="AL195" s="115"/>
      <c r="AM195" s="115"/>
      <c r="AN195" s="191"/>
      <c r="AO195" s="191"/>
    </row>
    <row r="196" spans="1:41" x14ac:dyDescent="0.25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115"/>
      <c r="AF196" s="115"/>
      <c r="AG196" s="115"/>
      <c r="AH196" s="115"/>
      <c r="AI196" s="115"/>
      <c r="AJ196" s="115"/>
      <c r="AK196" s="115"/>
      <c r="AL196" s="115"/>
      <c r="AM196" s="115"/>
      <c r="AN196" s="191"/>
      <c r="AO196" s="191"/>
    </row>
    <row r="197" spans="1:41" x14ac:dyDescent="0.25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  <c r="AG197" s="115"/>
      <c r="AH197" s="115"/>
      <c r="AI197" s="115"/>
      <c r="AJ197" s="115"/>
      <c r="AK197" s="115"/>
      <c r="AL197" s="115"/>
      <c r="AM197" s="115"/>
      <c r="AN197" s="191"/>
      <c r="AO197" s="191"/>
    </row>
    <row r="198" spans="1:41" x14ac:dyDescent="0.25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15"/>
      <c r="AG198" s="115"/>
      <c r="AH198" s="115"/>
      <c r="AI198" s="115"/>
      <c r="AJ198" s="115"/>
      <c r="AK198" s="115"/>
      <c r="AL198" s="115"/>
      <c r="AM198" s="115"/>
      <c r="AN198" s="191"/>
      <c r="AO198" s="191"/>
    </row>
    <row r="199" spans="1:41" x14ac:dyDescent="0.25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115"/>
      <c r="AH199" s="115"/>
      <c r="AI199" s="115"/>
      <c r="AJ199" s="115"/>
      <c r="AK199" s="115"/>
      <c r="AL199" s="115"/>
      <c r="AM199" s="115"/>
      <c r="AN199" s="191"/>
      <c r="AO199" s="191"/>
    </row>
    <row r="200" spans="1:41" x14ac:dyDescent="0.25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115"/>
      <c r="AG200" s="115"/>
      <c r="AH200" s="115"/>
      <c r="AI200" s="115"/>
      <c r="AJ200" s="115"/>
      <c r="AK200" s="115"/>
      <c r="AL200" s="115"/>
      <c r="AM200" s="115"/>
      <c r="AN200" s="191"/>
      <c r="AO200" s="191"/>
    </row>
    <row r="201" spans="1:41" x14ac:dyDescent="0.25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15"/>
      <c r="AH201" s="115"/>
      <c r="AI201" s="115"/>
      <c r="AJ201" s="115"/>
      <c r="AK201" s="115"/>
      <c r="AL201" s="115"/>
      <c r="AM201" s="115"/>
      <c r="AN201" s="191"/>
      <c r="AO201" s="191"/>
    </row>
    <row r="202" spans="1:41" x14ac:dyDescent="0.25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  <c r="AG202" s="115"/>
      <c r="AH202" s="115"/>
      <c r="AI202" s="115"/>
      <c r="AJ202" s="115"/>
      <c r="AK202" s="115"/>
      <c r="AL202" s="115"/>
      <c r="AM202" s="115"/>
      <c r="AN202" s="191"/>
      <c r="AO202" s="191"/>
    </row>
    <row r="203" spans="1:41" x14ac:dyDescent="0.25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15"/>
      <c r="AH203" s="115"/>
      <c r="AI203" s="115"/>
      <c r="AJ203" s="115"/>
      <c r="AK203" s="115"/>
      <c r="AL203" s="115"/>
      <c r="AM203" s="115"/>
      <c r="AN203" s="191"/>
      <c r="AO203" s="191"/>
    </row>
    <row r="204" spans="1:41" x14ac:dyDescent="0.25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  <c r="AG204" s="115"/>
      <c r="AH204" s="115"/>
      <c r="AI204" s="115"/>
      <c r="AJ204" s="115"/>
      <c r="AK204" s="115"/>
      <c r="AL204" s="115"/>
      <c r="AM204" s="115"/>
      <c r="AN204" s="191"/>
      <c r="AO204" s="191"/>
    </row>
    <row r="205" spans="1:41" x14ac:dyDescent="0.2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  <c r="AG205" s="115"/>
      <c r="AH205" s="115"/>
      <c r="AI205" s="115"/>
      <c r="AJ205" s="115"/>
      <c r="AK205" s="115"/>
      <c r="AL205" s="115"/>
      <c r="AM205" s="115"/>
      <c r="AN205" s="191"/>
      <c r="AO205" s="191"/>
    </row>
    <row r="206" spans="1:41" x14ac:dyDescent="0.25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15"/>
      <c r="AG206" s="115"/>
      <c r="AH206" s="115"/>
      <c r="AI206" s="115"/>
      <c r="AJ206" s="115"/>
      <c r="AK206" s="115"/>
      <c r="AL206" s="115"/>
      <c r="AM206" s="115"/>
      <c r="AN206" s="191"/>
      <c r="AO206" s="191"/>
    </row>
    <row r="207" spans="1:41" x14ac:dyDescent="0.25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15"/>
      <c r="AG207" s="115"/>
      <c r="AH207" s="115"/>
      <c r="AI207" s="115"/>
      <c r="AJ207" s="115"/>
      <c r="AK207" s="115"/>
      <c r="AL207" s="115"/>
      <c r="AM207" s="115"/>
      <c r="AN207" s="191"/>
      <c r="AO207" s="191"/>
    </row>
    <row r="208" spans="1:41" x14ac:dyDescent="0.25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115"/>
      <c r="AH208" s="115"/>
      <c r="AI208" s="115"/>
      <c r="AJ208" s="115"/>
      <c r="AK208" s="115"/>
      <c r="AL208" s="115"/>
      <c r="AM208" s="115"/>
      <c r="AN208" s="191"/>
      <c r="AO208" s="191"/>
    </row>
    <row r="209" spans="1:41" x14ac:dyDescent="0.25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15"/>
      <c r="AH209" s="115"/>
      <c r="AI209" s="115"/>
      <c r="AJ209" s="115"/>
      <c r="AK209" s="115"/>
      <c r="AL209" s="115"/>
      <c r="AM209" s="115"/>
      <c r="AN209" s="191"/>
      <c r="AO209" s="191"/>
    </row>
    <row r="210" spans="1:41" x14ac:dyDescent="0.25">
      <c r="A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115"/>
      <c r="AH210" s="115"/>
      <c r="AI210" s="115"/>
      <c r="AJ210" s="115"/>
      <c r="AK210" s="115"/>
      <c r="AL210" s="115"/>
      <c r="AM210" s="115"/>
      <c r="AN210" s="191"/>
      <c r="AO210" s="191"/>
    </row>
    <row r="211" spans="1:41" x14ac:dyDescent="0.25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15"/>
      <c r="AF211" s="115"/>
      <c r="AG211" s="115"/>
      <c r="AH211" s="115"/>
      <c r="AI211" s="115"/>
      <c r="AJ211" s="115"/>
      <c r="AK211" s="115"/>
      <c r="AL211" s="115"/>
      <c r="AM211" s="115"/>
      <c r="AN211" s="191"/>
      <c r="AO211" s="191"/>
    </row>
    <row r="212" spans="1:41" x14ac:dyDescent="0.25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115"/>
      <c r="AG212" s="115"/>
      <c r="AH212" s="115"/>
      <c r="AI212" s="115"/>
      <c r="AJ212" s="115"/>
      <c r="AK212" s="115"/>
      <c r="AL212" s="115"/>
      <c r="AM212" s="115"/>
      <c r="AN212" s="191"/>
      <c r="AO212" s="191"/>
    </row>
    <row r="213" spans="1:41" x14ac:dyDescent="0.25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15"/>
      <c r="AG213" s="115"/>
      <c r="AH213" s="115"/>
      <c r="AI213" s="115"/>
      <c r="AJ213" s="115"/>
      <c r="AK213" s="115"/>
      <c r="AL213" s="115"/>
      <c r="AM213" s="115"/>
      <c r="AN213" s="191"/>
      <c r="AO213" s="191"/>
    </row>
    <row r="214" spans="1:41" x14ac:dyDescent="0.25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115"/>
      <c r="AG214" s="115"/>
      <c r="AH214" s="115"/>
      <c r="AI214" s="115"/>
      <c r="AJ214" s="115"/>
      <c r="AK214" s="115"/>
      <c r="AL214" s="115"/>
      <c r="AM214" s="115"/>
      <c r="AN214" s="191"/>
      <c r="AO214" s="191"/>
    </row>
    <row r="215" spans="1:41" x14ac:dyDescent="0.2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15"/>
      <c r="AG215" s="115"/>
      <c r="AH215" s="115"/>
      <c r="AI215" s="115"/>
      <c r="AJ215" s="115"/>
      <c r="AK215" s="115"/>
      <c r="AL215" s="115"/>
      <c r="AM215" s="115"/>
      <c r="AN215" s="191"/>
      <c r="AO215" s="191"/>
    </row>
    <row r="216" spans="1:41" x14ac:dyDescent="0.25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15"/>
      <c r="AF216" s="115"/>
      <c r="AG216" s="115"/>
      <c r="AH216" s="115"/>
      <c r="AI216" s="115"/>
      <c r="AJ216" s="115"/>
      <c r="AK216" s="115"/>
      <c r="AL216" s="115"/>
      <c r="AM216" s="115"/>
      <c r="AN216" s="191"/>
      <c r="AO216" s="191"/>
    </row>
    <row r="217" spans="1:41" x14ac:dyDescent="0.25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15"/>
      <c r="AG217" s="115"/>
      <c r="AH217" s="115"/>
      <c r="AI217" s="115"/>
      <c r="AJ217" s="115"/>
      <c r="AK217" s="115"/>
      <c r="AL217" s="115"/>
      <c r="AM217" s="115"/>
      <c r="AN217" s="191"/>
      <c r="AO217" s="191"/>
    </row>
    <row r="218" spans="1:41" x14ac:dyDescent="0.25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5"/>
      <c r="AF218" s="115"/>
      <c r="AG218" s="115"/>
      <c r="AH218" s="115"/>
      <c r="AI218" s="115"/>
      <c r="AJ218" s="115"/>
      <c r="AK218" s="115"/>
      <c r="AL218" s="115"/>
      <c r="AM218" s="115"/>
      <c r="AN218" s="191"/>
      <c r="AO218" s="191"/>
    </row>
    <row r="219" spans="1:41" x14ac:dyDescent="0.25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115"/>
      <c r="AG219" s="115"/>
      <c r="AH219" s="115"/>
      <c r="AI219" s="115"/>
      <c r="AJ219" s="115"/>
      <c r="AK219" s="115"/>
      <c r="AL219" s="115"/>
      <c r="AM219" s="115"/>
      <c r="AN219" s="191"/>
      <c r="AO219" s="191"/>
    </row>
    <row r="220" spans="1:41" x14ac:dyDescent="0.25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15"/>
      <c r="AH220" s="115"/>
      <c r="AI220" s="115"/>
      <c r="AJ220" s="115"/>
      <c r="AK220" s="115"/>
      <c r="AL220" s="115"/>
      <c r="AM220" s="115"/>
      <c r="AN220" s="191"/>
      <c r="AO220" s="191"/>
    </row>
    <row r="221" spans="1:41" x14ac:dyDescent="0.25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15"/>
      <c r="AI221" s="115"/>
      <c r="AJ221" s="115"/>
      <c r="AK221" s="115"/>
      <c r="AL221" s="115"/>
      <c r="AM221" s="115"/>
      <c r="AN221" s="191"/>
      <c r="AO221" s="191"/>
    </row>
    <row r="222" spans="1:41" x14ac:dyDescent="0.25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115"/>
      <c r="AH222" s="115"/>
      <c r="AI222" s="115"/>
      <c r="AJ222" s="115"/>
      <c r="AK222" s="115"/>
      <c r="AL222" s="115"/>
      <c r="AM222" s="115"/>
      <c r="AN222" s="191"/>
      <c r="AO222" s="191"/>
    </row>
    <row r="223" spans="1:41" ht="46.5" x14ac:dyDescent="0.7">
      <c r="A223" s="116" t="s">
        <v>9</v>
      </c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15"/>
      <c r="AG223" s="115"/>
      <c r="AH223" s="115"/>
      <c r="AI223" s="115"/>
      <c r="AJ223" s="115"/>
      <c r="AK223" s="115"/>
      <c r="AL223" s="115"/>
      <c r="AM223" s="115"/>
      <c r="AN223" s="191"/>
      <c r="AO223" s="191"/>
    </row>
    <row r="224" spans="1:41" ht="46.5" x14ac:dyDescent="0.7">
      <c r="A224" s="116" t="s">
        <v>10</v>
      </c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15"/>
      <c r="AI224" s="115"/>
      <c r="AJ224" s="115"/>
      <c r="AK224" s="115"/>
      <c r="AL224" s="115"/>
      <c r="AM224" s="115"/>
      <c r="AN224" s="191"/>
      <c r="AO224" s="191"/>
    </row>
    <row r="225" spans="1:41" x14ac:dyDescent="0.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115"/>
      <c r="AG225" s="115"/>
      <c r="AH225" s="115"/>
      <c r="AI225" s="115"/>
      <c r="AJ225" s="115"/>
      <c r="AK225" s="115"/>
      <c r="AL225" s="115"/>
      <c r="AM225" s="115"/>
      <c r="AN225" s="191"/>
      <c r="AO225" s="191"/>
    </row>
    <row r="226" spans="1:41" x14ac:dyDescent="0.25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15"/>
      <c r="AG226" s="115"/>
      <c r="AH226" s="115"/>
      <c r="AI226" s="115"/>
      <c r="AJ226" s="115"/>
      <c r="AK226" s="115"/>
      <c r="AL226" s="115"/>
      <c r="AM226" s="115"/>
      <c r="AN226" s="191"/>
      <c r="AO226" s="191"/>
    </row>
    <row r="227" spans="1:41" x14ac:dyDescent="0.25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15"/>
      <c r="AF227" s="115"/>
      <c r="AG227" s="115"/>
      <c r="AH227" s="115"/>
      <c r="AI227" s="115"/>
      <c r="AJ227" s="115"/>
      <c r="AK227" s="115"/>
      <c r="AL227" s="115"/>
      <c r="AM227" s="115"/>
      <c r="AN227" s="191"/>
      <c r="AO227" s="191"/>
    </row>
    <row r="228" spans="1:41" x14ac:dyDescent="0.25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15"/>
      <c r="AG228" s="115"/>
      <c r="AH228" s="115"/>
      <c r="AI228" s="115"/>
      <c r="AJ228" s="115"/>
      <c r="AK228" s="115"/>
      <c r="AL228" s="115"/>
      <c r="AM228" s="115"/>
      <c r="AN228" s="191"/>
      <c r="AO228" s="191"/>
    </row>
    <row r="229" spans="1:41" x14ac:dyDescent="0.25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15"/>
      <c r="AF229" s="115"/>
      <c r="AG229" s="115"/>
      <c r="AH229" s="115"/>
      <c r="AI229" s="115"/>
      <c r="AJ229" s="115"/>
      <c r="AK229" s="115"/>
      <c r="AL229" s="115"/>
      <c r="AM229" s="115"/>
      <c r="AN229" s="191"/>
      <c r="AO229" s="191"/>
    </row>
    <row r="230" spans="1:41" x14ac:dyDescent="0.25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15"/>
      <c r="AF230" s="115"/>
      <c r="AG230" s="115"/>
      <c r="AH230" s="115"/>
      <c r="AI230" s="115"/>
      <c r="AJ230" s="115"/>
      <c r="AK230" s="115"/>
      <c r="AL230" s="115"/>
      <c r="AM230" s="115"/>
      <c r="AN230" s="191"/>
      <c r="AO230" s="191"/>
    </row>
    <row r="231" spans="1:41" x14ac:dyDescent="0.25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  <c r="AI231" s="115"/>
      <c r="AJ231" s="115"/>
      <c r="AK231" s="115"/>
      <c r="AL231" s="115"/>
      <c r="AM231" s="115"/>
      <c r="AN231" s="191"/>
      <c r="AO231" s="191"/>
    </row>
    <row r="232" spans="1:41" x14ac:dyDescent="0.25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15"/>
      <c r="AF232" s="115"/>
      <c r="AG232" s="115"/>
      <c r="AH232" s="115"/>
      <c r="AI232" s="115"/>
      <c r="AJ232" s="115"/>
      <c r="AK232" s="115"/>
      <c r="AL232" s="115"/>
      <c r="AM232" s="115"/>
      <c r="AN232" s="191"/>
      <c r="AO232" s="191"/>
    </row>
    <row r="233" spans="1:41" x14ac:dyDescent="0.25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  <c r="AG233" s="115"/>
      <c r="AH233" s="115"/>
      <c r="AI233" s="115"/>
      <c r="AJ233" s="115"/>
      <c r="AK233" s="115"/>
      <c r="AL233" s="115"/>
      <c r="AM233" s="115"/>
      <c r="AN233" s="191"/>
      <c r="AO233" s="191"/>
    </row>
    <row r="234" spans="1:41" x14ac:dyDescent="0.25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15"/>
      <c r="AG234" s="115"/>
      <c r="AH234" s="115"/>
      <c r="AI234" s="115"/>
      <c r="AJ234" s="115"/>
      <c r="AK234" s="115"/>
      <c r="AL234" s="115"/>
      <c r="AM234" s="115"/>
      <c r="AN234" s="191"/>
      <c r="AO234" s="191"/>
    </row>
    <row r="235" spans="1:41" x14ac:dyDescent="0.2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15"/>
      <c r="AG235" s="115"/>
      <c r="AH235" s="115"/>
      <c r="AI235" s="115"/>
      <c r="AJ235" s="115"/>
      <c r="AK235" s="115"/>
      <c r="AL235" s="115"/>
      <c r="AM235" s="115"/>
      <c r="AN235" s="191"/>
      <c r="AO235" s="191"/>
    </row>
    <row r="236" spans="1:41" x14ac:dyDescent="0.25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15"/>
      <c r="AI236" s="115"/>
      <c r="AJ236" s="115"/>
      <c r="AK236" s="115"/>
      <c r="AL236" s="115"/>
      <c r="AM236" s="115"/>
      <c r="AN236" s="191"/>
      <c r="AO236" s="191"/>
    </row>
    <row r="237" spans="1:41" x14ac:dyDescent="0.25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115"/>
      <c r="AI237" s="115"/>
      <c r="AJ237" s="115"/>
      <c r="AK237" s="115"/>
      <c r="AL237" s="115"/>
      <c r="AM237" s="115"/>
      <c r="AN237" s="191"/>
      <c r="AO237" s="191"/>
    </row>
    <row r="238" spans="1:41" x14ac:dyDescent="0.25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  <c r="AG238" s="115"/>
      <c r="AH238" s="115"/>
      <c r="AI238" s="115"/>
      <c r="AJ238" s="115"/>
      <c r="AK238" s="115"/>
      <c r="AL238" s="115"/>
      <c r="AM238" s="115"/>
      <c r="AN238" s="191"/>
      <c r="AO238" s="191"/>
    </row>
    <row r="239" spans="1:41" x14ac:dyDescent="0.25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15"/>
      <c r="AG239" s="115"/>
      <c r="AH239" s="115"/>
      <c r="AI239" s="115"/>
      <c r="AJ239" s="115"/>
      <c r="AK239" s="115"/>
      <c r="AL239" s="115"/>
      <c r="AM239" s="115"/>
      <c r="AN239" s="191"/>
      <c r="AO239" s="191"/>
    </row>
    <row r="240" spans="1:41" x14ac:dyDescent="0.25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  <c r="AG240" s="115"/>
      <c r="AH240" s="115"/>
      <c r="AI240" s="115"/>
      <c r="AJ240" s="115"/>
      <c r="AK240" s="115"/>
      <c r="AL240" s="115"/>
      <c r="AM240" s="115"/>
      <c r="AN240" s="191"/>
      <c r="AO240" s="191"/>
    </row>
    <row r="241" spans="1:41" x14ac:dyDescent="0.25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115"/>
      <c r="AG241" s="115"/>
      <c r="AH241" s="115"/>
      <c r="AI241" s="115"/>
      <c r="AJ241" s="115"/>
      <c r="AK241" s="115"/>
      <c r="AL241" s="115"/>
      <c r="AM241" s="115"/>
      <c r="AN241" s="191"/>
      <c r="AO241" s="191"/>
    </row>
    <row r="242" spans="1:41" x14ac:dyDescent="0.25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115"/>
      <c r="AG242" s="115"/>
      <c r="AH242" s="115"/>
      <c r="AI242" s="115"/>
      <c r="AJ242" s="115"/>
      <c r="AK242" s="115"/>
      <c r="AL242" s="115"/>
      <c r="AM242" s="115"/>
      <c r="AN242" s="191"/>
      <c r="AO242" s="191"/>
    </row>
    <row r="243" spans="1:41" x14ac:dyDescent="0.25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115"/>
      <c r="AI243" s="115"/>
      <c r="AJ243" s="115"/>
      <c r="AK243" s="115"/>
      <c r="AL243" s="115"/>
      <c r="AM243" s="115"/>
      <c r="AN243" s="191"/>
      <c r="AO243" s="191"/>
    </row>
    <row r="244" spans="1:41" x14ac:dyDescent="0.25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15"/>
      <c r="AG244" s="115"/>
      <c r="AH244" s="115"/>
      <c r="AI244" s="115"/>
      <c r="AJ244" s="115"/>
      <c r="AK244" s="115"/>
      <c r="AL244" s="115"/>
      <c r="AM244" s="115"/>
      <c r="AN244" s="191"/>
      <c r="AO244" s="191"/>
    </row>
    <row r="245" spans="1:41" x14ac:dyDescent="0.2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115"/>
      <c r="AI245" s="115"/>
      <c r="AJ245" s="115"/>
      <c r="AK245" s="115"/>
      <c r="AL245" s="115"/>
      <c r="AM245" s="115"/>
      <c r="AN245" s="191"/>
      <c r="AO245" s="191"/>
    </row>
    <row r="246" spans="1:41" x14ac:dyDescent="0.25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15"/>
      <c r="AG246" s="115"/>
      <c r="AH246" s="115"/>
      <c r="AI246" s="115"/>
      <c r="AJ246" s="115"/>
      <c r="AK246" s="115"/>
      <c r="AL246" s="115"/>
      <c r="AM246" s="115"/>
      <c r="AN246" s="191"/>
      <c r="AO246" s="191"/>
    </row>
    <row r="247" spans="1:41" x14ac:dyDescent="0.25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115"/>
      <c r="AH247" s="115"/>
      <c r="AI247" s="115"/>
      <c r="AJ247" s="115"/>
      <c r="AK247" s="115"/>
      <c r="AL247" s="115"/>
      <c r="AM247" s="115"/>
      <c r="AN247" s="191"/>
      <c r="AO247" s="191"/>
    </row>
    <row r="248" spans="1:41" x14ac:dyDescent="0.25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115"/>
      <c r="AI248" s="115"/>
      <c r="AJ248" s="115"/>
      <c r="AK248" s="115"/>
      <c r="AL248" s="115"/>
      <c r="AM248" s="115"/>
      <c r="AN248" s="191"/>
      <c r="AO248" s="191"/>
    </row>
    <row r="249" spans="1:41" x14ac:dyDescent="0.25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115"/>
      <c r="AH249" s="115"/>
      <c r="AI249" s="115"/>
      <c r="AJ249" s="115"/>
      <c r="AK249" s="115"/>
      <c r="AL249" s="115"/>
      <c r="AM249" s="115"/>
      <c r="AN249" s="191"/>
      <c r="AO249" s="191"/>
    </row>
    <row r="250" spans="1:41" x14ac:dyDescent="0.25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15"/>
      <c r="AG250" s="115"/>
      <c r="AH250" s="115"/>
      <c r="AI250" s="115"/>
      <c r="AJ250" s="115"/>
      <c r="AK250" s="115"/>
      <c r="AL250" s="115"/>
      <c r="AM250" s="115"/>
      <c r="AN250" s="191"/>
      <c r="AO250" s="191"/>
    </row>
    <row r="251" spans="1:41" x14ac:dyDescent="0.25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15"/>
      <c r="AG251" s="115"/>
      <c r="AH251" s="115"/>
      <c r="AI251" s="115"/>
      <c r="AJ251" s="115"/>
      <c r="AK251" s="115"/>
      <c r="AL251" s="115"/>
      <c r="AM251" s="115"/>
      <c r="AN251" s="191"/>
      <c r="AO251" s="191"/>
    </row>
    <row r="252" spans="1:41" x14ac:dyDescent="0.25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15"/>
      <c r="AG252" s="115"/>
      <c r="AH252" s="115"/>
      <c r="AI252" s="115"/>
      <c r="AJ252" s="115"/>
      <c r="AK252" s="115"/>
      <c r="AL252" s="115"/>
      <c r="AM252" s="115"/>
      <c r="AN252" s="191"/>
      <c r="AO252" s="191"/>
    </row>
    <row r="253" spans="1:41" x14ac:dyDescent="0.25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15"/>
      <c r="AG253" s="115"/>
      <c r="AH253" s="115"/>
      <c r="AI253" s="115"/>
      <c r="AJ253" s="115"/>
      <c r="AK253" s="115"/>
      <c r="AL253" s="115"/>
      <c r="AM253" s="115"/>
      <c r="AN253" s="191"/>
      <c r="AO253" s="191"/>
    </row>
    <row r="254" spans="1:41" ht="15.75" hidden="1" x14ac:dyDescent="0.25">
      <c r="A254" s="130">
        <f>+IF(D1="JANEIRO",1,0)+IF(D1="FEVEREIRO",2,0)+IF(D1="MARÇO",3,0)+IF(D1="ABRIL",4,0)+IF(D1="MAIO",5,0)+IF(D1="JUNHO",6,0)+IF(D1="JULHO",7,0)+IF(D1="AGOSTO",8,0)+IF(D1="SETEMBRO",9,0)+IF(D1="OUTUBRO",10,0)+IF(D1="NOVEMBRO",11,0)+IF(D1="DEZEMBRO",12,0)</f>
        <v>1</v>
      </c>
      <c r="B254" s="131"/>
      <c r="C254" s="131"/>
      <c r="D254" s="131"/>
      <c r="E254" s="131"/>
      <c r="F254" s="131"/>
      <c r="G254" s="131"/>
      <c r="H254" s="132"/>
      <c r="I254" s="133">
        <f>IF(I2&gt;$G1,0,WEEKDAY(I256,2))</f>
        <v>4</v>
      </c>
      <c r="J254" s="133">
        <f>IF(J2&gt;$G1,0,WEEKDAY(J256,2))</f>
        <v>5</v>
      </c>
      <c r="K254" s="133">
        <f>IF(K2&gt;$G1,0,WEEKDAY(K256,2))</f>
        <v>6</v>
      </c>
      <c r="L254" s="133">
        <f>IF(L2&gt;$G1,0,WEEKDAY(L256,2))</f>
        <v>7</v>
      </c>
      <c r="M254" s="133">
        <f>IF(M2&gt;$G1,0,WEEKDAY(M256,2))</f>
        <v>1</v>
      </c>
      <c r="N254" s="133">
        <f>IF(N2&gt;$G1,0,WEEKDAY(N256,2))</f>
        <v>2</v>
      </c>
      <c r="O254" s="133">
        <f>IF(O2&gt;$G1,0,WEEKDAY(O256,2))</f>
        <v>3</v>
      </c>
      <c r="P254" s="133">
        <f>IF(P2&gt;$G1,0,WEEKDAY(P256,2))</f>
        <v>4</v>
      </c>
      <c r="Q254" s="133">
        <f>IF(Q2&gt;$G1,0,WEEKDAY(Q256,2))</f>
        <v>5</v>
      </c>
      <c r="R254" s="133">
        <f>IF(R2&gt;$G1,0,WEEKDAY(R256,2))</f>
        <v>6</v>
      </c>
      <c r="S254" s="133">
        <f>IF(S2&gt;$G1,0,WEEKDAY(S256,2))</f>
        <v>7</v>
      </c>
      <c r="T254" s="133">
        <f>IF(T2&gt;$G1,0,WEEKDAY(T256,2))</f>
        <v>1</v>
      </c>
      <c r="U254" s="133">
        <f>IF(U2&gt;$G1,0,WEEKDAY(U256,2))</f>
        <v>2</v>
      </c>
      <c r="V254" s="133">
        <f>IF(V2&gt;$G1,0,WEEKDAY(V256,2))</f>
        <v>3</v>
      </c>
      <c r="W254" s="133">
        <f>IF(W2&gt;$G1,0,WEEKDAY(W256,2))</f>
        <v>4</v>
      </c>
      <c r="X254" s="133">
        <f>IF(X2&gt;$G1,0,WEEKDAY(X256,2))</f>
        <v>5</v>
      </c>
      <c r="Y254" s="133">
        <f>IF(Y2&gt;$G1,0,WEEKDAY(Y256,2))</f>
        <v>6</v>
      </c>
      <c r="Z254" s="133">
        <f>IF(Z2&gt;$G1,0,WEEKDAY(Z256,2))</f>
        <v>7</v>
      </c>
      <c r="AA254" s="133">
        <f>IF(AA2&gt;$G1,0,WEEKDAY(AA256,2))</f>
        <v>1</v>
      </c>
      <c r="AB254" s="133">
        <f>IF(AB2&gt;$G1,0,WEEKDAY(AB256,2))</f>
        <v>2</v>
      </c>
      <c r="AC254" s="133">
        <f>IF(AC2&gt;$G1,0,WEEKDAY(AC256,2))</f>
        <v>3</v>
      </c>
      <c r="AD254" s="133">
        <f>IF(AD2&gt;$G1,0,WEEKDAY(AD256,2))</f>
        <v>4</v>
      </c>
      <c r="AE254" s="133">
        <f>IF(AE2&gt;$G1,0,WEEKDAY(AE256,2))</f>
        <v>5</v>
      </c>
      <c r="AF254" s="133">
        <f>IF(AF2&gt;$G1,0,WEEKDAY(AF256,2))</f>
        <v>6</v>
      </c>
      <c r="AG254" s="133">
        <f>IF(AG2&gt;$G1,0,WEEKDAY(AG256,2))</f>
        <v>7</v>
      </c>
      <c r="AH254" s="133">
        <f>IF(AH2&gt;$G1,0,WEEKDAY(AH256,2))</f>
        <v>1</v>
      </c>
      <c r="AI254" s="133">
        <f>IF(AI2&gt;$G1,0,WEEKDAY(AI256,2))</f>
        <v>2</v>
      </c>
      <c r="AJ254" s="133">
        <f>IF(AJ2&gt;$G1,0,WEEKDAY(AJ256,2))</f>
        <v>3</v>
      </c>
      <c r="AK254" s="133">
        <f>IF(AK2&gt;$G1,0,WEEKDAY(AK256,2))</f>
        <v>4</v>
      </c>
      <c r="AL254" s="133">
        <f>IF(AL2&gt;$G1,0,WEEKDAY(AL256,2))</f>
        <v>5</v>
      </c>
      <c r="AM254" s="134">
        <f>IF(AM2&gt;$G1,0,WEEKDAY(AM256,2))</f>
        <v>6</v>
      </c>
    </row>
    <row r="255" spans="1:41" hidden="1" x14ac:dyDescent="0.25">
      <c r="A255" s="135">
        <f>DATE(E1,A254,1)</f>
        <v>46023</v>
      </c>
      <c r="B255" s="122"/>
      <c r="C255" s="122"/>
      <c r="D255" s="122"/>
      <c r="E255" s="122"/>
      <c r="F255" s="122"/>
      <c r="G255" s="122"/>
      <c r="H255" s="123"/>
      <c r="I255" s="124">
        <f ca="1">+IF(I2&gt;$G2,0,1)</f>
        <v>1</v>
      </c>
      <c r="J255" s="124">
        <f ca="1">+IF(J2&gt;$G2,0,1)</f>
        <v>1</v>
      </c>
      <c r="K255" s="124">
        <f ca="1">+IF(K2&gt;$G2,0,1)</f>
        <v>1</v>
      </c>
      <c r="L255" s="124">
        <f ca="1">+IF(L2&gt;$G2,0,1)</f>
        <v>1</v>
      </c>
      <c r="M255" s="124">
        <f ca="1">+IF(M2&gt;$G2,0,1)</f>
        <v>1</v>
      </c>
      <c r="N255" s="124">
        <f ca="1">+IF(N2&gt;$G2,0,1)</f>
        <v>1</v>
      </c>
      <c r="O255" s="124">
        <f ca="1">+IF(O2&gt;$G2,0,1)</f>
        <v>1</v>
      </c>
      <c r="P255" s="124">
        <f ca="1">+IF(P2&gt;$G2,0,1)</f>
        <v>1</v>
      </c>
      <c r="Q255" s="124">
        <f ca="1">+IF(Q2&gt;$G2,0,1)</f>
        <v>1</v>
      </c>
      <c r="R255" s="124">
        <f ca="1">+IF(R2&gt;$G2,0,1)</f>
        <v>1</v>
      </c>
      <c r="S255" s="124">
        <f ca="1">+IF(S2&gt;$G2,0,1)</f>
        <v>1</v>
      </c>
      <c r="T255" s="124">
        <f ca="1">+IF(T2&gt;$G2,0,1)</f>
        <v>1</v>
      </c>
      <c r="U255" s="124">
        <f ca="1">+IF(U2&gt;$G2,0,1)</f>
        <v>1</v>
      </c>
      <c r="V255" s="124">
        <f ca="1">+IF(V2&gt;$G2,0,1)</f>
        <v>0</v>
      </c>
      <c r="W255" s="124">
        <f ca="1">+IF(W2&gt;$G2,0,1)</f>
        <v>0</v>
      </c>
      <c r="X255" s="124">
        <f ca="1">+IF(X2&gt;$G2,0,1)</f>
        <v>0</v>
      </c>
      <c r="Y255" s="124">
        <f ca="1">+IF(Y2&gt;$G2,0,1)</f>
        <v>0</v>
      </c>
      <c r="Z255" s="124">
        <f ca="1">+IF(Z2&gt;$G2,0,1)</f>
        <v>0</v>
      </c>
      <c r="AA255" s="124">
        <f ca="1">+IF(AA2&gt;$G2,0,1)</f>
        <v>0</v>
      </c>
      <c r="AB255" s="124">
        <f ca="1">+IF(AB2&gt;$G2,0,1)</f>
        <v>0</v>
      </c>
      <c r="AC255" s="124">
        <f ca="1">+IF(AC2&gt;$G2,0,1)</f>
        <v>0</v>
      </c>
      <c r="AD255" s="124">
        <f ca="1">+IF(AD2&gt;$G2,0,1)</f>
        <v>0</v>
      </c>
      <c r="AE255" s="124">
        <f ca="1">+IF(AE2&gt;$G2,0,1)</f>
        <v>0</v>
      </c>
      <c r="AF255" s="124">
        <f ca="1">+IF(AF2&gt;$G2,0,1)</f>
        <v>0</v>
      </c>
      <c r="AG255" s="124">
        <f ca="1">+IF(AG2&gt;$G2,0,1)</f>
        <v>0</v>
      </c>
      <c r="AH255" s="124">
        <f ca="1">+IF(AH2&gt;$G2,0,1)</f>
        <v>0</v>
      </c>
      <c r="AI255" s="124">
        <f ca="1">+IF(AI2&gt;$G2,0,1)</f>
        <v>0</v>
      </c>
      <c r="AJ255" s="124">
        <f ca="1">+IF(AJ2&gt;$G2,0,1)</f>
        <v>0</v>
      </c>
      <c r="AK255" s="124">
        <f ca="1">+IF(AK2&gt;$G2,0,1)</f>
        <v>0</v>
      </c>
      <c r="AL255" s="124">
        <f ca="1">+IF(AL2&gt;$G2,0,1)</f>
        <v>0</v>
      </c>
      <c r="AM255" s="136">
        <f ca="1">+IF(AM2&gt;$G2,0,1)</f>
        <v>0</v>
      </c>
    </row>
    <row r="256" spans="1:41" hidden="1" x14ac:dyDescent="0.25">
      <c r="A256" s="135">
        <f>EOMONTH(A255,0)</f>
        <v>46053</v>
      </c>
      <c r="B256" s="122"/>
      <c r="C256" s="122"/>
      <c r="D256" s="122"/>
      <c r="F256" s="122"/>
      <c r="G256" s="122"/>
      <c r="H256" s="123"/>
      <c r="I256" s="125">
        <f>DATE( $E1,$A254,I2)</f>
        <v>46023</v>
      </c>
      <c r="J256" s="125">
        <f>DATE( $E1,$A254,J2)</f>
        <v>46024</v>
      </c>
      <c r="K256" s="125">
        <f>DATE( $E1,$A254,K2)</f>
        <v>46025</v>
      </c>
      <c r="L256" s="125">
        <f>DATE( $E1,$A254,L2)</f>
        <v>46026</v>
      </c>
      <c r="M256" s="125">
        <f>DATE( $E1,$A254,M2)</f>
        <v>46027</v>
      </c>
      <c r="N256" s="125">
        <f>DATE( $E1,$A254,N2)</f>
        <v>46028</v>
      </c>
      <c r="O256" s="125">
        <f>DATE( $E1,$A254,O2)</f>
        <v>46029</v>
      </c>
      <c r="P256" s="125">
        <f>DATE( $E1,$A254,P2)</f>
        <v>46030</v>
      </c>
      <c r="Q256" s="125">
        <f>DATE( $E1,$A254,Q2)</f>
        <v>46031</v>
      </c>
      <c r="R256" s="125">
        <f>DATE( $E1,$A254,R2)</f>
        <v>46032</v>
      </c>
      <c r="S256" s="125">
        <f>DATE( $E1,$A254,S2)</f>
        <v>46033</v>
      </c>
      <c r="T256" s="125">
        <f>DATE( $E1,$A254,T2)</f>
        <v>46034</v>
      </c>
      <c r="U256" s="125">
        <f>DATE( $E1,$A254,U2)</f>
        <v>46035</v>
      </c>
      <c r="V256" s="125">
        <f>DATE( $E1,$A254,V2)</f>
        <v>46036</v>
      </c>
      <c r="W256" s="125">
        <f>DATE( $E1,$A254,W2)</f>
        <v>46037</v>
      </c>
      <c r="X256" s="125">
        <f>DATE( $E1,$A254,X2)</f>
        <v>46038</v>
      </c>
      <c r="Y256" s="125">
        <f>DATE( $E1,$A254,Y2)</f>
        <v>46039</v>
      </c>
      <c r="Z256" s="125">
        <f>DATE( $E1,$A254,Z2)</f>
        <v>46040</v>
      </c>
      <c r="AA256" s="125">
        <f>DATE( $E1,$A254,AA2)</f>
        <v>46041</v>
      </c>
      <c r="AB256" s="125">
        <f>DATE( $E1,$A254,AB2)</f>
        <v>46042</v>
      </c>
      <c r="AC256" s="125">
        <f>DATE( $E1,$A254,AC2)</f>
        <v>46043</v>
      </c>
      <c r="AD256" s="125">
        <f>DATE( $E1,$A254,AD2)</f>
        <v>46044</v>
      </c>
      <c r="AE256" s="125">
        <f>DATE( $E1,$A254,AE2)</f>
        <v>46045</v>
      </c>
      <c r="AF256" s="125">
        <f>DATE( $E1,$A254,AF2)</f>
        <v>46046</v>
      </c>
      <c r="AG256" s="125">
        <f>DATE( $E1,$A254,AG2)</f>
        <v>46047</v>
      </c>
      <c r="AH256" s="125">
        <f>DATE( $E1,$A254,AH2)</f>
        <v>46048</v>
      </c>
      <c r="AI256" s="125">
        <f>DATE( $E1,$A254,AI2)</f>
        <v>46049</v>
      </c>
      <c r="AJ256" s="125">
        <f>DATE( $E1,$A254,AJ2)</f>
        <v>46050</v>
      </c>
      <c r="AK256" s="125">
        <f>DATE( $E1,$A254,AK2)</f>
        <v>46051</v>
      </c>
      <c r="AL256" s="125">
        <f>DATE( $E1,$A254,AL2)</f>
        <v>46052</v>
      </c>
      <c r="AM256" s="137">
        <f>DATE( $E1,$A254,AM2)</f>
        <v>46053</v>
      </c>
    </row>
    <row r="257" spans="1:39" hidden="1" x14ac:dyDescent="0.25">
      <c r="A257" s="138"/>
      <c r="H257" s="123"/>
      <c r="I257" s="129">
        <f>+$G1</f>
        <v>31</v>
      </c>
      <c r="J257" s="129">
        <f>+$G1</f>
        <v>31</v>
      </c>
      <c r="K257" s="129">
        <f>+$G1</f>
        <v>31</v>
      </c>
      <c r="L257" s="129">
        <f>+$G1</f>
        <v>31</v>
      </c>
      <c r="M257" s="129">
        <f>+$G1</f>
        <v>31</v>
      </c>
      <c r="N257" s="129">
        <f>+$G1</f>
        <v>31</v>
      </c>
      <c r="O257" s="129">
        <f>+$G1</f>
        <v>31</v>
      </c>
      <c r="P257" s="129">
        <f>+$G1</f>
        <v>31</v>
      </c>
      <c r="Q257" s="129">
        <f>+$G1</f>
        <v>31</v>
      </c>
      <c r="R257" s="129">
        <f>+$G1</f>
        <v>31</v>
      </c>
      <c r="S257" s="129">
        <f>+$G1</f>
        <v>31</v>
      </c>
      <c r="T257" s="129">
        <f>+$G1</f>
        <v>31</v>
      </c>
      <c r="U257" s="129">
        <f>+$G1</f>
        <v>31</v>
      </c>
      <c r="V257" s="129">
        <f>+$G1</f>
        <v>31</v>
      </c>
      <c r="W257" s="129">
        <f>+$G1</f>
        <v>31</v>
      </c>
      <c r="X257" s="129">
        <f>+$G1</f>
        <v>31</v>
      </c>
      <c r="Y257" s="129">
        <f>+$G1</f>
        <v>31</v>
      </c>
      <c r="Z257" s="129">
        <f>+$G1</f>
        <v>31</v>
      </c>
      <c r="AA257" s="129">
        <f>+$G1</f>
        <v>31</v>
      </c>
      <c r="AB257" s="129">
        <f>+$G1</f>
        <v>31</v>
      </c>
      <c r="AC257" s="129">
        <f>+$G1</f>
        <v>31</v>
      </c>
      <c r="AD257" s="129">
        <f>+$G1</f>
        <v>31</v>
      </c>
      <c r="AE257" s="129">
        <f>+$G1</f>
        <v>31</v>
      </c>
      <c r="AF257" s="129">
        <f>+$G1</f>
        <v>31</v>
      </c>
      <c r="AG257" s="129">
        <f>+$G1</f>
        <v>31</v>
      </c>
      <c r="AH257" s="129">
        <f>+$G1</f>
        <v>31</v>
      </c>
      <c r="AI257" s="129">
        <f>+$G1</f>
        <v>31</v>
      </c>
      <c r="AJ257" s="129">
        <f>+$G1</f>
        <v>31</v>
      </c>
      <c r="AK257" s="129">
        <f>+$G1</f>
        <v>31</v>
      </c>
      <c r="AL257" s="129">
        <f>+$G1</f>
        <v>31</v>
      </c>
      <c r="AM257" s="139">
        <f>+$G1</f>
        <v>31</v>
      </c>
    </row>
    <row r="258" spans="1:39" ht="15.75" hidden="1" thickBot="1" x14ac:dyDescent="0.3">
      <c r="A258" s="140"/>
      <c r="B258" s="127"/>
      <c r="C258" s="127"/>
      <c r="D258" s="127"/>
      <c r="E258" s="127"/>
      <c r="F258" s="127"/>
      <c r="G258" s="127"/>
      <c r="H258" s="123"/>
      <c r="I258" s="141">
        <f>DATE( $E1,$A254,G1)</f>
        <v>46053</v>
      </c>
      <c r="J258" s="141">
        <f>+I258</f>
        <v>46053</v>
      </c>
      <c r="K258" s="141">
        <f>+J258</f>
        <v>46053</v>
      </c>
      <c r="L258" s="141">
        <f t="shared" ref="L258:AM258" si="71">+K258</f>
        <v>46053</v>
      </c>
      <c r="M258" s="141">
        <f t="shared" si="71"/>
        <v>46053</v>
      </c>
      <c r="N258" s="141">
        <f t="shared" si="71"/>
        <v>46053</v>
      </c>
      <c r="O258" s="141">
        <f t="shared" si="71"/>
        <v>46053</v>
      </c>
      <c r="P258" s="141">
        <f t="shared" si="71"/>
        <v>46053</v>
      </c>
      <c r="Q258" s="141">
        <f t="shared" si="71"/>
        <v>46053</v>
      </c>
      <c r="R258" s="141">
        <f t="shared" si="71"/>
        <v>46053</v>
      </c>
      <c r="S258" s="141">
        <f t="shared" si="71"/>
        <v>46053</v>
      </c>
      <c r="T258" s="141">
        <f t="shared" si="71"/>
        <v>46053</v>
      </c>
      <c r="U258" s="141">
        <f t="shared" si="71"/>
        <v>46053</v>
      </c>
      <c r="V258" s="141">
        <f t="shared" si="71"/>
        <v>46053</v>
      </c>
      <c r="W258" s="141">
        <f t="shared" si="71"/>
        <v>46053</v>
      </c>
      <c r="X258" s="141">
        <f t="shared" si="71"/>
        <v>46053</v>
      </c>
      <c r="Y258" s="141">
        <f t="shared" si="71"/>
        <v>46053</v>
      </c>
      <c r="Z258" s="141">
        <f t="shared" si="71"/>
        <v>46053</v>
      </c>
      <c r="AA258" s="141">
        <f t="shared" si="71"/>
        <v>46053</v>
      </c>
      <c r="AB258" s="141">
        <f t="shared" si="71"/>
        <v>46053</v>
      </c>
      <c r="AC258" s="141">
        <f t="shared" si="71"/>
        <v>46053</v>
      </c>
      <c r="AD258" s="141">
        <f t="shared" si="71"/>
        <v>46053</v>
      </c>
      <c r="AE258" s="141">
        <f t="shared" si="71"/>
        <v>46053</v>
      </c>
      <c r="AF258" s="141">
        <f t="shared" si="71"/>
        <v>46053</v>
      </c>
      <c r="AG258" s="141">
        <f t="shared" si="71"/>
        <v>46053</v>
      </c>
      <c r="AH258" s="141">
        <f t="shared" si="71"/>
        <v>46053</v>
      </c>
      <c r="AI258" s="141">
        <f t="shared" si="71"/>
        <v>46053</v>
      </c>
      <c r="AJ258" s="141">
        <f t="shared" si="71"/>
        <v>46053</v>
      </c>
      <c r="AK258" s="141">
        <f t="shared" si="71"/>
        <v>46053</v>
      </c>
      <c r="AL258" s="141">
        <f t="shared" si="71"/>
        <v>46053</v>
      </c>
      <c r="AM258" s="142">
        <f t="shared" si="71"/>
        <v>46053</v>
      </c>
    </row>
  </sheetData>
  <mergeCells count="38">
    <mergeCell ref="AW37:AX37"/>
    <mergeCell ref="AY37:AZ37"/>
    <mergeCell ref="BA37:BB37"/>
    <mergeCell ref="BC37:BD37"/>
    <mergeCell ref="AQ3:AR3"/>
    <mergeCell ref="AS3:AT3"/>
    <mergeCell ref="AU3:AV3"/>
    <mergeCell ref="AW3:AX3"/>
    <mergeCell ref="AY3:AZ3"/>
    <mergeCell ref="BA3:BB3"/>
    <mergeCell ref="AQ37:AR37"/>
    <mergeCell ref="AQ48:AR48"/>
    <mergeCell ref="AS48:AT48"/>
    <mergeCell ref="AU48:AV48"/>
    <mergeCell ref="AS37:AT37"/>
    <mergeCell ref="AU37:AV37"/>
    <mergeCell ref="AQ26:AR26"/>
    <mergeCell ref="AS26:AT26"/>
    <mergeCell ref="AU26:AV26"/>
    <mergeCell ref="AY26:AZ26"/>
    <mergeCell ref="BA15:BB15"/>
    <mergeCell ref="AY15:AZ15"/>
    <mergeCell ref="AW26:AX26"/>
    <mergeCell ref="AU15:AV15"/>
    <mergeCell ref="AY2:AZ2"/>
    <mergeCell ref="BA2:BB2"/>
    <mergeCell ref="BC2:BD2"/>
    <mergeCell ref="BC15:BD15"/>
    <mergeCell ref="BC26:BD26"/>
    <mergeCell ref="BA26:BB26"/>
    <mergeCell ref="BC3:BD3"/>
    <mergeCell ref="AQ2:AR2"/>
    <mergeCell ref="AS2:AT2"/>
    <mergeCell ref="AU2:AV2"/>
    <mergeCell ref="AW2:AX2"/>
    <mergeCell ref="AW15:AX15"/>
    <mergeCell ref="AQ15:AR15"/>
    <mergeCell ref="AS15:AT15"/>
  </mergeCells>
  <phoneticPr fontId="14" type="noConversion"/>
  <conditionalFormatting sqref="G5:G26 G28:G43 G46:G66 G69:G88 G91:G97 G100:G103 G106:G111 G114:G121 G124:G130 G133:G137 G140:G152">
    <cfRule type="expression" dxfId="46" priority="2">
      <formula>AND(TODAY()&gt;=DATEVALUE(1&amp;D$1&amp;E$1),D5&lt;B5,$C5&lt;$G$2)</formula>
    </cfRule>
    <cfRule type="expression" dxfId="45" priority="3">
      <formula>AND(TODAY()&gt;=DATEVALUE(1&amp;D$1&amp;E$1),D5&lt;B5,C5&gt;=$G$2)</formula>
    </cfRule>
  </conditionalFormatting>
  <conditionalFormatting sqref="I28:AM43 I100:AN103 I106:AN111 I114:AN121 I124:AN130 I159:AM168">
    <cfRule type="expression" dxfId="0" priority="142">
      <formula>OR(I$254=6,I$254=7)</formula>
    </cfRule>
  </conditionalFormatting>
  <conditionalFormatting sqref="I172:AM172">
    <cfRule type="expression" dxfId="44" priority="9">
      <formula>OR(WEEKDAY(I256)=7,WEEKDAY(I256)=1)</formula>
    </cfRule>
  </conditionalFormatting>
  <conditionalFormatting sqref="I254:AM254">
    <cfRule type="cellIs" dxfId="43" priority="55" operator="between">
      <formula>6</formula>
      <formula>7</formula>
    </cfRule>
  </conditionalFormatting>
  <conditionalFormatting sqref="I5:AO25">
    <cfRule type="expression" dxfId="42" priority="31">
      <formula>OR(I$254=6,I$254=7)</formula>
    </cfRule>
  </conditionalFormatting>
  <conditionalFormatting sqref="I46:AN66">
    <cfRule type="expression" dxfId="41" priority="29">
      <formula>OR(I$254=6,I$254=7)</formula>
    </cfRule>
  </conditionalFormatting>
  <conditionalFormatting sqref="I69:AN88">
    <cfRule type="expression" dxfId="40" priority="28">
      <formula>OR(I$254=6,I$254=7)</formula>
    </cfRule>
  </conditionalFormatting>
  <conditionalFormatting sqref="I91:AN97">
    <cfRule type="expression" dxfId="39" priority="27">
      <formula>OR(I$254=6,I$254=7)</formula>
    </cfRule>
  </conditionalFormatting>
  <conditionalFormatting sqref="I133:AN137">
    <cfRule type="expression" dxfId="38" priority="26">
      <formula>OR(I$254=6,I$254=7)</formula>
    </cfRule>
  </conditionalFormatting>
  <conditionalFormatting sqref="I140:AN152">
    <cfRule type="expression" dxfId="37" priority="25">
      <formula>OR(I$254=6,I$254=7)</formula>
    </cfRule>
  </conditionalFormatting>
  <conditionalFormatting sqref="AK28:AK43 AK106:AK111 AK114:AK121 AK124:AK130 AK159:AK168 AK6:AK25 AK46:AK66 AK69:AK88 AK91:AK97 AK133:AK137 AK140:AK152">
    <cfRule type="expression" dxfId="36" priority="48">
      <formula>+OR($AK$254=6,$AK$254=7)</formula>
    </cfRule>
  </conditionalFormatting>
  <conditionalFormatting sqref="AK100:AK103">
    <cfRule type="expression" dxfId="35" priority="154">
      <formula>+OR($AK$254=6,$AK$254=7)</formula>
    </cfRule>
  </conditionalFormatting>
  <conditionalFormatting sqref="AN28:AN43">
    <cfRule type="expression" dxfId="34" priority="30">
      <formula>OR(AN$254=6,AN$254=7)</formula>
    </cfRule>
  </conditionalFormatting>
  <conditionalFormatting sqref="AO140:AO152 AO133:AO137 AO124:AO130 AO114:AO121 AO106:AO111 AO100:AO103 AO91:AO97 AO69:AO88 AO46:AO66 AO28:AO43">
    <cfRule type="expression" dxfId="33" priority="1">
      <formula>OR(AO$254=6,AO$254=7)</formula>
    </cfRule>
  </conditionalFormatting>
  <pageMargins left="0" right="0" top="0" bottom="0" header="0" footer="0"/>
  <pageSetup paperSize="5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E2A8D-03B9-4A09-AC3E-C365367FF164}">
  <sheetPr>
    <tabColor theme="5" tint="-0.249977111117893"/>
  </sheetPr>
  <dimension ref="A1:BD172"/>
  <sheetViews>
    <sheetView topLeftCell="A136" zoomScale="75" zoomScaleNormal="75" workbookViewId="0">
      <selection activeCell="C158" sqref="C158"/>
    </sheetView>
  </sheetViews>
  <sheetFormatPr defaultRowHeight="15" x14ac:dyDescent="0.25"/>
  <cols>
    <col min="1" max="1" width="33.42578125" customWidth="1"/>
    <col min="2" max="2" width="17.85546875" customWidth="1"/>
    <col min="3" max="3" width="16.5703125" customWidth="1"/>
    <col min="4" max="4" width="17.42578125" customWidth="1"/>
    <col min="5" max="5" width="16" customWidth="1"/>
    <col min="6" max="6" width="6.5703125" customWidth="1"/>
    <col min="7" max="7" width="1.85546875" customWidth="1"/>
    <col min="8" max="38" width="18.85546875" customWidth="1"/>
    <col min="55" max="56" width="17.5703125" customWidth="1"/>
    <col min="59" max="59" width="11.7109375" bestFit="1" customWidth="1"/>
  </cols>
  <sheetData>
    <row r="1" spans="1:56" x14ac:dyDescent="0.25">
      <c r="A1" s="20"/>
      <c r="B1" s="20"/>
      <c r="C1" s="20"/>
      <c r="D1" s="24">
        <f>+DESP_JANEIRO!I258</f>
        <v>46053</v>
      </c>
      <c r="E1" s="20"/>
      <c r="F1" s="25">
        <f ca="1">DAY(TODAY())</f>
        <v>13</v>
      </c>
      <c r="G1" s="21"/>
      <c r="H1" s="24">
        <f>+DESP_JANEIRO!I256</f>
        <v>46023</v>
      </c>
      <c r="I1" s="24">
        <f>+DESP_JANEIRO!J256</f>
        <v>46024</v>
      </c>
      <c r="J1" s="24">
        <f>+DESP_JANEIRO!K256</f>
        <v>46025</v>
      </c>
      <c r="K1" s="24">
        <f>+DESP_JANEIRO!L256</f>
        <v>46026</v>
      </c>
      <c r="L1" s="24">
        <f>+DESP_JANEIRO!M256</f>
        <v>46027</v>
      </c>
      <c r="M1" s="24">
        <f>+DESP_JANEIRO!N256</f>
        <v>46028</v>
      </c>
      <c r="N1" s="24">
        <f>+DESP_JANEIRO!O256</f>
        <v>46029</v>
      </c>
      <c r="O1" s="24">
        <f>+DESP_JANEIRO!P256</f>
        <v>46030</v>
      </c>
      <c r="P1" s="24">
        <f>+DESP_JANEIRO!Q256</f>
        <v>46031</v>
      </c>
      <c r="Q1" s="24">
        <f>+DESP_JANEIRO!R256</f>
        <v>46032</v>
      </c>
      <c r="R1" s="24">
        <f>+DESP_JANEIRO!S256</f>
        <v>46033</v>
      </c>
      <c r="S1" s="24">
        <f>+DESP_JANEIRO!T256</f>
        <v>46034</v>
      </c>
      <c r="T1" s="24">
        <f>+DESP_JANEIRO!U256</f>
        <v>46035</v>
      </c>
      <c r="U1" s="24">
        <f>+DESP_JANEIRO!V256</f>
        <v>46036</v>
      </c>
      <c r="V1" s="24">
        <f>+DESP_JANEIRO!W256</f>
        <v>46037</v>
      </c>
      <c r="W1" s="24">
        <f>+DESP_JANEIRO!X256</f>
        <v>46038</v>
      </c>
      <c r="X1" s="24">
        <f>+DESP_JANEIRO!Y256</f>
        <v>46039</v>
      </c>
      <c r="Y1" s="24">
        <f>+DESP_JANEIRO!Z256</f>
        <v>46040</v>
      </c>
      <c r="Z1" s="24">
        <f>+DESP_JANEIRO!AA256</f>
        <v>46041</v>
      </c>
      <c r="AA1" s="24">
        <f>+DESP_JANEIRO!AB256</f>
        <v>46042</v>
      </c>
      <c r="AB1" s="24">
        <f>+DESP_JANEIRO!AC256</f>
        <v>46043</v>
      </c>
      <c r="AC1" s="24">
        <f>+DESP_JANEIRO!AD256</f>
        <v>46044</v>
      </c>
      <c r="AD1" s="24">
        <f>+DESP_JANEIRO!AE256</f>
        <v>46045</v>
      </c>
      <c r="AE1" s="24">
        <f>+DESP_JANEIRO!AF256</f>
        <v>46046</v>
      </c>
      <c r="AF1" s="24">
        <f>+DESP_JANEIRO!AG256</f>
        <v>46047</v>
      </c>
      <c r="AG1" s="24">
        <f>+DESP_JANEIRO!AH256</f>
        <v>46048</v>
      </c>
      <c r="AH1" s="24">
        <f>+DESP_JANEIRO!AI256</f>
        <v>46049</v>
      </c>
      <c r="AI1" s="24">
        <f>+DESP_JANEIRO!AJ256</f>
        <v>46050</v>
      </c>
      <c r="AJ1" s="24">
        <f>+DESP_JANEIRO!AK256</f>
        <v>46051</v>
      </c>
      <c r="AK1" s="24">
        <f>+DESP_JANEIRO!AL256</f>
        <v>46052</v>
      </c>
      <c r="AL1" s="24">
        <f>+DESP_JANEIRO!AM256</f>
        <v>46053</v>
      </c>
    </row>
    <row r="2" spans="1:56" ht="15.75" x14ac:dyDescent="0.25">
      <c r="A2" s="26" t="str">
        <f>+DESP_JANEIRO!D1</f>
        <v>JANEIRO</v>
      </c>
      <c r="B2" s="27">
        <f>+DESP_JANEIRO!E1</f>
        <v>2026</v>
      </c>
      <c r="C2" s="28" t="s">
        <v>13</v>
      </c>
      <c r="D2" s="27">
        <f>+DESP_JANEIRO!G1</f>
        <v>31</v>
      </c>
      <c r="E2" s="29" t="s">
        <v>5</v>
      </c>
      <c r="F2" s="30">
        <f ca="1">+SUM(H$172:AL$172)/$D$2</f>
        <v>0.41935483870967744</v>
      </c>
      <c r="G2" s="21"/>
      <c r="H2" s="31">
        <f t="shared" ref="H2:AL2" si="0">IF(H1&gt;$D1,"",WEEKDAY(H1))</f>
        <v>5</v>
      </c>
      <c r="I2" s="31">
        <f t="shared" si="0"/>
        <v>6</v>
      </c>
      <c r="J2" s="31">
        <f t="shared" si="0"/>
        <v>7</v>
      </c>
      <c r="K2" s="31">
        <f t="shared" si="0"/>
        <v>1</v>
      </c>
      <c r="L2" s="31">
        <f t="shared" si="0"/>
        <v>2</v>
      </c>
      <c r="M2" s="31">
        <f t="shared" si="0"/>
        <v>3</v>
      </c>
      <c r="N2" s="31">
        <f t="shared" si="0"/>
        <v>4</v>
      </c>
      <c r="O2" s="31">
        <f t="shared" si="0"/>
        <v>5</v>
      </c>
      <c r="P2" s="31">
        <f t="shared" si="0"/>
        <v>6</v>
      </c>
      <c r="Q2" s="31">
        <f t="shared" si="0"/>
        <v>7</v>
      </c>
      <c r="R2" s="31">
        <f t="shared" si="0"/>
        <v>1</v>
      </c>
      <c r="S2" s="31">
        <f t="shared" si="0"/>
        <v>2</v>
      </c>
      <c r="T2" s="31">
        <f t="shared" si="0"/>
        <v>3</v>
      </c>
      <c r="U2" s="31">
        <f t="shared" si="0"/>
        <v>4</v>
      </c>
      <c r="V2" s="31">
        <f t="shared" si="0"/>
        <v>5</v>
      </c>
      <c r="W2" s="31">
        <f t="shared" si="0"/>
        <v>6</v>
      </c>
      <c r="X2" s="31">
        <f t="shared" si="0"/>
        <v>7</v>
      </c>
      <c r="Y2" s="31">
        <f t="shared" si="0"/>
        <v>1</v>
      </c>
      <c r="Z2" s="31">
        <f t="shared" si="0"/>
        <v>2</v>
      </c>
      <c r="AA2" s="31">
        <f t="shared" si="0"/>
        <v>3</v>
      </c>
      <c r="AB2" s="31">
        <f t="shared" si="0"/>
        <v>4</v>
      </c>
      <c r="AC2" s="31">
        <f t="shared" si="0"/>
        <v>5</v>
      </c>
      <c r="AD2" s="31">
        <f t="shared" si="0"/>
        <v>6</v>
      </c>
      <c r="AE2" s="31">
        <f t="shared" si="0"/>
        <v>7</v>
      </c>
      <c r="AF2" s="31">
        <f t="shared" si="0"/>
        <v>1</v>
      </c>
      <c r="AG2" s="31">
        <f t="shared" si="0"/>
        <v>2</v>
      </c>
      <c r="AH2" s="31">
        <f t="shared" si="0"/>
        <v>3</v>
      </c>
      <c r="AI2" s="31">
        <f t="shared" si="0"/>
        <v>4</v>
      </c>
      <c r="AJ2" s="31">
        <f t="shared" si="0"/>
        <v>5</v>
      </c>
      <c r="AK2" s="31">
        <f t="shared" si="0"/>
        <v>6</v>
      </c>
      <c r="AL2" s="31">
        <f t="shared" si="0"/>
        <v>7</v>
      </c>
    </row>
    <row r="3" spans="1:56" x14ac:dyDescent="0.25">
      <c r="A3" s="32" t="s">
        <v>8</v>
      </c>
      <c r="B3" s="25" t="s">
        <v>1</v>
      </c>
      <c r="C3" s="25" t="s">
        <v>7</v>
      </c>
      <c r="D3" s="33" t="s">
        <v>2</v>
      </c>
      <c r="E3" s="25" t="s">
        <v>3</v>
      </c>
      <c r="F3" s="34" t="s">
        <v>12</v>
      </c>
      <c r="G3" s="35"/>
      <c r="H3" s="25">
        <v>1</v>
      </c>
      <c r="I3" s="25">
        <f>H3+1</f>
        <v>2</v>
      </c>
      <c r="J3" s="25">
        <f t="shared" ref="J3:AL3" si="1">I3+1</f>
        <v>3</v>
      </c>
      <c r="K3" s="25">
        <f t="shared" si="1"/>
        <v>4</v>
      </c>
      <c r="L3" s="25">
        <f t="shared" si="1"/>
        <v>5</v>
      </c>
      <c r="M3" s="25">
        <f t="shared" si="1"/>
        <v>6</v>
      </c>
      <c r="N3" s="25">
        <f t="shared" si="1"/>
        <v>7</v>
      </c>
      <c r="O3" s="25">
        <f t="shared" si="1"/>
        <v>8</v>
      </c>
      <c r="P3" s="25">
        <f t="shared" si="1"/>
        <v>9</v>
      </c>
      <c r="Q3" s="25">
        <f t="shared" si="1"/>
        <v>10</v>
      </c>
      <c r="R3" s="25">
        <f t="shared" si="1"/>
        <v>11</v>
      </c>
      <c r="S3" s="25">
        <f t="shared" si="1"/>
        <v>12</v>
      </c>
      <c r="T3" s="25">
        <f t="shared" si="1"/>
        <v>13</v>
      </c>
      <c r="U3" s="25">
        <f t="shared" si="1"/>
        <v>14</v>
      </c>
      <c r="V3" s="25">
        <f t="shared" si="1"/>
        <v>15</v>
      </c>
      <c r="W3" s="25">
        <f t="shared" si="1"/>
        <v>16</v>
      </c>
      <c r="X3" s="25">
        <f t="shared" si="1"/>
        <v>17</v>
      </c>
      <c r="Y3" s="25">
        <f t="shared" si="1"/>
        <v>18</v>
      </c>
      <c r="Z3" s="25">
        <f t="shared" si="1"/>
        <v>19</v>
      </c>
      <c r="AA3" s="25">
        <f t="shared" si="1"/>
        <v>20</v>
      </c>
      <c r="AB3" s="25">
        <f t="shared" si="1"/>
        <v>21</v>
      </c>
      <c r="AC3" s="25">
        <f t="shared" si="1"/>
        <v>22</v>
      </c>
      <c r="AD3" s="25">
        <f t="shared" si="1"/>
        <v>23</v>
      </c>
      <c r="AE3" s="25">
        <f t="shared" si="1"/>
        <v>24</v>
      </c>
      <c r="AF3" s="25">
        <f t="shared" si="1"/>
        <v>25</v>
      </c>
      <c r="AG3" s="25">
        <f t="shared" si="1"/>
        <v>26</v>
      </c>
      <c r="AH3" s="25">
        <f t="shared" si="1"/>
        <v>27</v>
      </c>
      <c r="AI3" s="25">
        <f t="shared" si="1"/>
        <v>28</v>
      </c>
      <c r="AJ3" s="25">
        <f t="shared" si="1"/>
        <v>29</v>
      </c>
      <c r="AK3" s="25">
        <f t="shared" si="1"/>
        <v>30</v>
      </c>
      <c r="AL3" s="25">
        <f t="shared" si="1"/>
        <v>31</v>
      </c>
    </row>
    <row r="4" spans="1:56" ht="9" customHeight="1" x14ac:dyDescent="0.25">
      <c r="A4" s="36"/>
      <c r="B4" s="36"/>
      <c r="C4" s="36"/>
      <c r="D4" s="36" t="s">
        <v>6</v>
      </c>
      <c r="E4" s="36"/>
      <c r="F4" s="35"/>
      <c r="G4" s="35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</row>
    <row r="5" spans="1:56" x14ac:dyDescent="0.25">
      <c r="A5" s="37"/>
      <c r="B5" s="37"/>
      <c r="C5" s="38"/>
      <c r="D5" s="38"/>
      <c r="E5" s="37"/>
      <c r="F5" s="37"/>
      <c r="G5" s="36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</row>
    <row r="6" spans="1:56" x14ac:dyDescent="0.25">
      <c r="A6" s="282">
        <f>+SUM(H6:AL6)-B6</f>
        <v>0</v>
      </c>
      <c r="B6" s="39">
        <f>+DESP_JANEIRO!B5</f>
        <v>6650</v>
      </c>
      <c r="C6" s="39">
        <f>+DESP_JANEIRO!C5</f>
        <v>2</v>
      </c>
      <c r="D6" s="40">
        <f ca="1">+DESP_JANEIRO!F5</f>
        <v>0</v>
      </c>
      <c r="E6" s="41">
        <f>+SUM(H6:AL6)</f>
        <v>6650</v>
      </c>
      <c r="F6" s="42">
        <f>+IF(B6=0,"-",E6/B6)</f>
        <v>1</v>
      </c>
      <c r="G6" s="43"/>
      <c r="H6" s="44">
        <f>+IF(H$3&gt;$D$2,0,IF(OR(C6=-1,C6=H$3),$B6,0))</f>
        <v>0</v>
      </c>
      <c r="I6" s="44">
        <f t="shared" ref="I6:AL14" si="2">+IF(I$3&gt;$D$2,0,IF($C6=I$3,$B6,0))</f>
        <v>6650</v>
      </c>
      <c r="J6" s="44">
        <f t="shared" si="2"/>
        <v>0</v>
      </c>
      <c r="K6" s="44">
        <f t="shared" si="2"/>
        <v>0</v>
      </c>
      <c r="L6" s="44">
        <f t="shared" si="2"/>
        <v>0</v>
      </c>
      <c r="M6" s="44">
        <f t="shared" si="2"/>
        <v>0</v>
      </c>
      <c r="N6" s="44">
        <f t="shared" si="2"/>
        <v>0</v>
      </c>
      <c r="O6" s="44">
        <f t="shared" si="2"/>
        <v>0</v>
      </c>
      <c r="P6" s="44">
        <f t="shared" si="2"/>
        <v>0</v>
      </c>
      <c r="Q6" s="44">
        <f t="shared" si="2"/>
        <v>0</v>
      </c>
      <c r="R6" s="44">
        <f t="shared" si="2"/>
        <v>0</v>
      </c>
      <c r="S6" s="44">
        <f t="shared" si="2"/>
        <v>0</v>
      </c>
      <c r="T6" s="44">
        <f t="shared" si="2"/>
        <v>0</v>
      </c>
      <c r="U6" s="44">
        <f t="shared" si="2"/>
        <v>0</v>
      </c>
      <c r="V6" s="44">
        <f t="shared" si="2"/>
        <v>0</v>
      </c>
      <c r="W6" s="44">
        <f t="shared" si="2"/>
        <v>0</v>
      </c>
      <c r="X6" s="44">
        <f t="shared" si="2"/>
        <v>0</v>
      </c>
      <c r="Y6" s="44">
        <f t="shared" si="2"/>
        <v>0</v>
      </c>
      <c r="Z6" s="44">
        <f t="shared" si="2"/>
        <v>0</v>
      </c>
      <c r="AA6" s="44">
        <f t="shared" si="2"/>
        <v>0</v>
      </c>
      <c r="AB6" s="44">
        <f t="shared" si="2"/>
        <v>0</v>
      </c>
      <c r="AC6" s="44">
        <f t="shared" si="2"/>
        <v>0</v>
      </c>
      <c r="AD6" s="44">
        <f t="shared" si="2"/>
        <v>0</v>
      </c>
      <c r="AE6" s="44">
        <f t="shared" si="2"/>
        <v>0</v>
      </c>
      <c r="AF6" s="44">
        <f t="shared" si="2"/>
        <v>0</v>
      </c>
      <c r="AG6" s="44">
        <f t="shared" si="2"/>
        <v>0</v>
      </c>
      <c r="AH6" s="44">
        <f t="shared" si="2"/>
        <v>0</v>
      </c>
      <c r="AI6" s="44">
        <f t="shared" si="2"/>
        <v>0</v>
      </c>
      <c r="AJ6" s="44">
        <f t="shared" si="2"/>
        <v>0</v>
      </c>
      <c r="AK6" s="44">
        <f t="shared" si="2"/>
        <v>0</v>
      </c>
      <c r="AL6" s="44">
        <f t="shared" si="2"/>
        <v>0</v>
      </c>
    </row>
    <row r="7" spans="1:56" x14ac:dyDescent="0.25">
      <c r="A7" s="282">
        <f t="shared" ref="A7:A26" si="3">+SUM(H7:AL7)-B7</f>
        <v>0</v>
      </c>
      <c r="B7" s="39">
        <f>+DESP_JANEIRO!B6</f>
        <v>6359.51</v>
      </c>
      <c r="C7" s="39">
        <f>+DESP_JANEIRO!C6</f>
        <v>7</v>
      </c>
      <c r="D7" s="40">
        <f ca="1">+DESP_JANEIRO!F6</f>
        <v>6359.51</v>
      </c>
      <c r="E7" s="41">
        <f t="shared" ref="E7:E89" si="4">+SUM(H7:AL7)</f>
        <v>6359.51</v>
      </c>
      <c r="F7" s="42">
        <f t="shared" ref="F7:F27" si="5">+IF(B7=0,"-",E7/B7)</f>
        <v>1</v>
      </c>
      <c r="G7" s="43"/>
      <c r="H7" s="44">
        <f t="shared" ref="H7:H26" si="6">+IF(H$3&gt;$D$2,0,IF(OR(C7=-1,C7=H$3),$B7,0))</f>
        <v>0</v>
      </c>
      <c r="I7" s="44">
        <f t="shared" si="2"/>
        <v>0</v>
      </c>
      <c r="J7" s="44">
        <f t="shared" si="2"/>
        <v>0</v>
      </c>
      <c r="K7" s="44">
        <f t="shared" si="2"/>
        <v>0</v>
      </c>
      <c r="L7" s="44">
        <f t="shared" si="2"/>
        <v>0</v>
      </c>
      <c r="M7" s="44">
        <f t="shared" si="2"/>
        <v>0</v>
      </c>
      <c r="N7" s="44">
        <f t="shared" si="2"/>
        <v>6359.51</v>
      </c>
      <c r="O7" s="44">
        <f t="shared" si="2"/>
        <v>0</v>
      </c>
      <c r="P7" s="44">
        <f t="shared" si="2"/>
        <v>0</v>
      </c>
      <c r="Q7" s="44">
        <f t="shared" si="2"/>
        <v>0</v>
      </c>
      <c r="R7" s="44">
        <f t="shared" si="2"/>
        <v>0</v>
      </c>
      <c r="S7" s="44">
        <f t="shared" si="2"/>
        <v>0</v>
      </c>
      <c r="T7" s="44">
        <f t="shared" si="2"/>
        <v>0</v>
      </c>
      <c r="U7" s="44">
        <f t="shared" si="2"/>
        <v>0</v>
      </c>
      <c r="V7" s="44">
        <f t="shared" si="2"/>
        <v>0</v>
      </c>
      <c r="W7" s="44">
        <f t="shared" si="2"/>
        <v>0</v>
      </c>
      <c r="X7" s="44">
        <f t="shared" si="2"/>
        <v>0</v>
      </c>
      <c r="Y7" s="44">
        <f t="shared" si="2"/>
        <v>0</v>
      </c>
      <c r="Z7" s="44">
        <f t="shared" si="2"/>
        <v>0</v>
      </c>
      <c r="AA7" s="44">
        <f t="shared" si="2"/>
        <v>0</v>
      </c>
      <c r="AB7" s="44">
        <f t="shared" si="2"/>
        <v>0</v>
      </c>
      <c r="AC7" s="44">
        <f t="shared" si="2"/>
        <v>0</v>
      </c>
      <c r="AD7" s="44">
        <f t="shared" si="2"/>
        <v>0</v>
      </c>
      <c r="AE7" s="44">
        <f t="shared" si="2"/>
        <v>0</v>
      </c>
      <c r="AF7" s="44">
        <f t="shared" si="2"/>
        <v>0</v>
      </c>
      <c r="AG7" s="44">
        <f t="shared" si="2"/>
        <v>0</v>
      </c>
      <c r="AH7" s="44">
        <f t="shared" si="2"/>
        <v>0</v>
      </c>
      <c r="AI7" s="44">
        <f t="shared" si="2"/>
        <v>0</v>
      </c>
      <c r="AJ7" s="44">
        <f t="shared" si="2"/>
        <v>0</v>
      </c>
      <c r="AK7" s="44">
        <f t="shared" si="2"/>
        <v>0</v>
      </c>
      <c r="AL7" s="44">
        <f t="shared" si="2"/>
        <v>0</v>
      </c>
      <c r="BC7" s="10"/>
      <c r="BD7" s="10"/>
    </row>
    <row r="8" spans="1:56" x14ac:dyDescent="0.25">
      <c r="A8" s="282">
        <f t="shared" si="3"/>
        <v>-770.07</v>
      </c>
      <c r="B8" s="39">
        <f>+DESP_JANEIRO!B7</f>
        <v>770.07</v>
      </c>
      <c r="C8" s="39">
        <f>+DESP_JANEIRO!C7</f>
        <v>0</v>
      </c>
      <c r="D8" s="40">
        <f ca="1">+DESP_JANEIRO!F7</f>
        <v>0</v>
      </c>
      <c r="E8" s="41">
        <f t="shared" si="4"/>
        <v>0</v>
      </c>
      <c r="F8" s="42">
        <f t="shared" si="5"/>
        <v>0</v>
      </c>
      <c r="G8" s="43"/>
      <c r="H8" s="44">
        <f t="shared" si="6"/>
        <v>0</v>
      </c>
      <c r="I8" s="44">
        <f t="shared" si="2"/>
        <v>0</v>
      </c>
      <c r="J8" s="44">
        <f t="shared" si="2"/>
        <v>0</v>
      </c>
      <c r="K8" s="44">
        <f t="shared" si="2"/>
        <v>0</v>
      </c>
      <c r="L8" s="44">
        <f t="shared" si="2"/>
        <v>0</v>
      </c>
      <c r="M8" s="44">
        <f t="shared" si="2"/>
        <v>0</v>
      </c>
      <c r="N8" s="44">
        <f t="shared" si="2"/>
        <v>0</v>
      </c>
      <c r="O8" s="44">
        <f t="shared" si="2"/>
        <v>0</v>
      </c>
      <c r="P8" s="44">
        <f t="shared" si="2"/>
        <v>0</v>
      </c>
      <c r="Q8" s="44">
        <f t="shared" si="2"/>
        <v>0</v>
      </c>
      <c r="R8" s="44">
        <f t="shared" si="2"/>
        <v>0</v>
      </c>
      <c r="S8" s="44">
        <f t="shared" si="2"/>
        <v>0</v>
      </c>
      <c r="T8" s="44">
        <f t="shared" si="2"/>
        <v>0</v>
      </c>
      <c r="U8" s="44">
        <f t="shared" si="2"/>
        <v>0</v>
      </c>
      <c r="V8" s="44">
        <f t="shared" si="2"/>
        <v>0</v>
      </c>
      <c r="W8" s="44">
        <f t="shared" si="2"/>
        <v>0</v>
      </c>
      <c r="X8" s="44">
        <f t="shared" si="2"/>
        <v>0</v>
      </c>
      <c r="Y8" s="44">
        <f t="shared" si="2"/>
        <v>0</v>
      </c>
      <c r="Z8" s="44">
        <f t="shared" si="2"/>
        <v>0</v>
      </c>
      <c r="AA8" s="44">
        <f t="shared" si="2"/>
        <v>0</v>
      </c>
      <c r="AB8" s="44">
        <f t="shared" si="2"/>
        <v>0</v>
      </c>
      <c r="AC8" s="44">
        <f t="shared" si="2"/>
        <v>0</v>
      </c>
      <c r="AD8" s="44">
        <f t="shared" si="2"/>
        <v>0</v>
      </c>
      <c r="AE8" s="44">
        <f t="shared" si="2"/>
        <v>0</v>
      </c>
      <c r="AF8" s="44">
        <f t="shared" si="2"/>
        <v>0</v>
      </c>
      <c r="AG8" s="44">
        <f t="shared" si="2"/>
        <v>0</v>
      </c>
      <c r="AH8" s="44">
        <f t="shared" si="2"/>
        <v>0</v>
      </c>
      <c r="AI8" s="44">
        <f t="shared" si="2"/>
        <v>0</v>
      </c>
      <c r="AJ8" s="44">
        <f t="shared" si="2"/>
        <v>0</v>
      </c>
      <c r="AK8" s="44">
        <f t="shared" si="2"/>
        <v>0</v>
      </c>
      <c r="AL8" s="44">
        <f t="shared" si="2"/>
        <v>0</v>
      </c>
      <c r="BD8" s="15"/>
    </row>
    <row r="9" spans="1:56" x14ac:dyDescent="0.25">
      <c r="A9" s="282">
        <f t="shared" si="3"/>
        <v>0</v>
      </c>
      <c r="B9" s="39">
        <f>+DESP_JANEIRO!B8</f>
        <v>770.07</v>
      </c>
      <c r="C9" s="39">
        <f>+DESP_JANEIRO!C8</f>
        <v>25</v>
      </c>
      <c r="D9" s="40">
        <f ca="1">+DESP_JANEIRO!F8</f>
        <v>0</v>
      </c>
      <c r="E9" s="41">
        <f t="shared" si="4"/>
        <v>770.07</v>
      </c>
      <c r="F9" s="42">
        <f t="shared" si="5"/>
        <v>1</v>
      </c>
      <c r="G9" s="43"/>
      <c r="H9" s="44">
        <f t="shared" si="6"/>
        <v>0</v>
      </c>
      <c r="I9" s="44">
        <f t="shared" si="2"/>
        <v>0</v>
      </c>
      <c r="J9" s="44">
        <f t="shared" si="2"/>
        <v>0</v>
      </c>
      <c r="K9" s="44">
        <f t="shared" si="2"/>
        <v>0</v>
      </c>
      <c r="L9" s="44">
        <f t="shared" si="2"/>
        <v>0</v>
      </c>
      <c r="M9" s="44">
        <f t="shared" si="2"/>
        <v>0</v>
      </c>
      <c r="N9" s="44">
        <f t="shared" si="2"/>
        <v>0</v>
      </c>
      <c r="O9" s="44">
        <f t="shared" si="2"/>
        <v>0</v>
      </c>
      <c r="P9" s="44">
        <f t="shared" si="2"/>
        <v>0</v>
      </c>
      <c r="Q9" s="44">
        <f t="shared" si="2"/>
        <v>0</v>
      </c>
      <c r="R9" s="44">
        <f t="shared" si="2"/>
        <v>0</v>
      </c>
      <c r="S9" s="44">
        <f t="shared" si="2"/>
        <v>0</v>
      </c>
      <c r="T9" s="44">
        <f t="shared" si="2"/>
        <v>0</v>
      </c>
      <c r="U9" s="44">
        <f t="shared" si="2"/>
        <v>0</v>
      </c>
      <c r="V9" s="44">
        <f t="shared" si="2"/>
        <v>0</v>
      </c>
      <c r="W9" s="44">
        <f t="shared" si="2"/>
        <v>0</v>
      </c>
      <c r="X9" s="44">
        <f t="shared" si="2"/>
        <v>0</v>
      </c>
      <c r="Y9" s="44">
        <f t="shared" si="2"/>
        <v>0</v>
      </c>
      <c r="Z9" s="44">
        <f t="shared" si="2"/>
        <v>0</v>
      </c>
      <c r="AA9" s="44">
        <f t="shared" si="2"/>
        <v>0</v>
      </c>
      <c r="AB9" s="44">
        <f t="shared" si="2"/>
        <v>0</v>
      </c>
      <c r="AC9" s="44">
        <f t="shared" si="2"/>
        <v>0</v>
      </c>
      <c r="AD9" s="44">
        <f t="shared" si="2"/>
        <v>0</v>
      </c>
      <c r="AE9" s="44">
        <f t="shared" si="2"/>
        <v>0</v>
      </c>
      <c r="AF9" s="44">
        <f t="shared" si="2"/>
        <v>770.07</v>
      </c>
      <c r="AG9" s="44">
        <f t="shared" si="2"/>
        <v>0</v>
      </c>
      <c r="AH9" s="44">
        <f t="shared" si="2"/>
        <v>0</v>
      </c>
      <c r="AI9" s="44">
        <f t="shared" si="2"/>
        <v>0</v>
      </c>
      <c r="AJ9" s="44">
        <f t="shared" si="2"/>
        <v>0</v>
      </c>
      <c r="AK9" s="44">
        <f t="shared" si="2"/>
        <v>0</v>
      </c>
      <c r="AL9" s="44">
        <f t="shared" si="2"/>
        <v>0</v>
      </c>
    </row>
    <row r="10" spans="1:56" x14ac:dyDescent="0.25">
      <c r="A10" s="282">
        <f t="shared" si="3"/>
        <v>0</v>
      </c>
      <c r="B10" s="39">
        <f>+DESP_JANEIRO!B9</f>
        <v>675.52</v>
      </c>
      <c r="C10" s="39">
        <f>+DESP_JANEIRO!C9</f>
        <v>25</v>
      </c>
      <c r="D10" s="40">
        <f ca="1">+DESP_JANEIRO!F9</f>
        <v>0</v>
      </c>
      <c r="E10" s="41">
        <f t="shared" si="4"/>
        <v>675.52</v>
      </c>
      <c r="F10" s="42">
        <f t="shared" si="5"/>
        <v>1</v>
      </c>
      <c r="G10" s="43"/>
      <c r="H10" s="44">
        <f t="shared" si="6"/>
        <v>0</v>
      </c>
      <c r="I10" s="44">
        <f t="shared" si="2"/>
        <v>0</v>
      </c>
      <c r="J10" s="44">
        <f t="shared" si="2"/>
        <v>0</v>
      </c>
      <c r="K10" s="44">
        <f t="shared" si="2"/>
        <v>0</v>
      </c>
      <c r="L10" s="44">
        <f t="shared" si="2"/>
        <v>0</v>
      </c>
      <c r="M10" s="44">
        <f t="shared" si="2"/>
        <v>0</v>
      </c>
      <c r="N10" s="44">
        <f t="shared" si="2"/>
        <v>0</v>
      </c>
      <c r="O10" s="44">
        <f t="shared" si="2"/>
        <v>0</v>
      </c>
      <c r="P10" s="44">
        <f t="shared" si="2"/>
        <v>0</v>
      </c>
      <c r="Q10" s="44">
        <f t="shared" si="2"/>
        <v>0</v>
      </c>
      <c r="R10" s="44">
        <f t="shared" si="2"/>
        <v>0</v>
      </c>
      <c r="S10" s="44">
        <f t="shared" si="2"/>
        <v>0</v>
      </c>
      <c r="T10" s="44">
        <f t="shared" si="2"/>
        <v>0</v>
      </c>
      <c r="U10" s="44">
        <f t="shared" si="2"/>
        <v>0</v>
      </c>
      <c r="V10" s="44">
        <f t="shared" si="2"/>
        <v>0</v>
      </c>
      <c r="W10" s="44">
        <f t="shared" si="2"/>
        <v>0</v>
      </c>
      <c r="X10" s="44">
        <f t="shared" si="2"/>
        <v>0</v>
      </c>
      <c r="Y10" s="44">
        <f t="shared" si="2"/>
        <v>0</v>
      </c>
      <c r="Z10" s="44">
        <f t="shared" si="2"/>
        <v>0</v>
      </c>
      <c r="AA10" s="44">
        <f t="shared" si="2"/>
        <v>0</v>
      </c>
      <c r="AB10" s="44">
        <f t="shared" si="2"/>
        <v>0</v>
      </c>
      <c r="AC10" s="44">
        <f t="shared" si="2"/>
        <v>0</v>
      </c>
      <c r="AD10" s="44">
        <f t="shared" si="2"/>
        <v>0</v>
      </c>
      <c r="AE10" s="44">
        <f t="shared" si="2"/>
        <v>0</v>
      </c>
      <c r="AF10" s="44">
        <f t="shared" si="2"/>
        <v>675.52</v>
      </c>
      <c r="AG10" s="44">
        <f t="shared" si="2"/>
        <v>0</v>
      </c>
      <c r="AH10" s="44">
        <f t="shared" si="2"/>
        <v>0</v>
      </c>
      <c r="AI10" s="44">
        <f t="shared" si="2"/>
        <v>0</v>
      </c>
      <c r="AJ10" s="44">
        <f t="shared" si="2"/>
        <v>0</v>
      </c>
      <c r="AK10" s="44">
        <f t="shared" si="2"/>
        <v>0</v>
      </c>
      <c r="AL10" s="44">
        <f t="shared" si="2"/>
        <v>0</v>
      </c>
    </row>
    <row r="11" spans="1:56" x14ac:dyDescent="0.25">
      <c r="A11" s="282">
        <f t="shared" si="3"/>
        <v>0</v>
      </c>
      <c r="B11" s="39">
        <f>+DESP_JANEIRO!B10</f>
        <v>1928.17</v>
      </c>
      <c r="C11" s="39">
        <f>+DESP_JANEIRO!C10</f>
        <v>28</v>
      </c>
      <c r="D11" s="40">
        <f ca="1">+DESP_JANEIRO!F10</f>
        <v>0</v>
      </c>
      <c r="E11" s="41">
        <f t="shared" si="4"/>
        <v>1928.17</v>
      </c>
      <c r="F11" s="42">
        <f t="shared" si="5"/>
        <v>1</v>
      </c>
      <c r="G11" s="43"/>
      <c r="H11" s="44">
        <f t="shared" si="6"/>
        <v>0</v>
      </c>
      <c r="I11" s="44">
        <f t="shared" si="2"/>
        <v>0</v>
      </c>
      <c r="J11" s="44">
        <f t="shared" si="2"/>
        <v>0</v>
      </c>
      <c r="K11" s="44">
        <f t="shared" si="2"/>
        <v>0</v>
      </c>
      <c r="L11" s="44">
        <f t="shared" si="2"/>
        <v>0</v>
      </c>
      <c r="M11" s="44">
        <f t="shared" si="2"/>
        <v>0</v>
      </c>
      <c r="N11" s="44">
        <f t="shared" si="2"/>
        <v>0</v>
      </c>
      <c r="O11" s="44">
        <f t="shared" si="2"/>
        <v>0</v>
      </c>
      <c r="P11" s="44">
        <f t="shared" si="2"/>
        <v>0</v>
      </c>
      <c r="Q11" s="44">
        <f t="shared" si="2"/>
        <v>0</v>
      </c>
      <c r="R11" s="44">
        <f t="shared" si="2"/>
        <v>0</v>
      </c>
      <c r="S11" s="44">
        <f t="shared" si="2"/>
        <v>0</v>
      </c>
      <c r="T11" s="44">
        <f t="shared" si="2"/>
        <v>0</v>
      </c>
      <c r="U11" s="44">
        <f t="shared" si="2"/>
        <v>0</v>
      </c>
      <c r="V11" s="44">
        <f t="shared" si="2"/>
        <v>0</v>
      </c>
      <c r="W11" s="44">
        <f t="shared" si="2"/>
        <v>0</v>
      </c>
      <c r="X11" s="44">
        <f t="shared" si="2"/>
        <v>0</v>
      </c>
      <c r="Y11" s="44">
        <f t="shared" si="2"/>
        <v>0</v>
      </c>
      <c r="Z11" s="44">
        <f t="shared" si="2"/>
        <v>0</v>
      </c>
      <c r="AA11" s="44">
        <f t="shared" si="2"/>
        <v>0</v>
      </c>
      <c r="AB11" s="44">
        <f t="shared" si="2"/>
        <v>0</v>
      </c>
      <c r="AC11" s="44">
        <f t="shared" si="2"/>
        <v>0</v>
      </c>
      <c r="AD11" s="44">
        <f t="shared" si="2"/>
        <v>0</v>
      </c>
      <c r="AE11" s="44">
        <f t="shared" si="2"/>
        <v>0</v>
      </c>
      <c r="AF11" s="44">
        <f t="shared" si="2"/>
        <v>0</v>
      </c>
      <c r="AG11" s="44">
        <f t="shared" si="2"/>
        <v>0</v>
      </c>
      <c r="AH11" s="44">
        <f t="shared" si="2"/>
        <v>0</v>
      </c>
      <c r="AI11" s="44">
        <f t="shared" si="2"/>
        <v>1928.17</v>
      </c>
      <c r="AJ11" s="44">
        <f t="shared" si="2"/>
        <v>0</v>
      </c>
      <c r="AK11" s="44">
        <f t="shared" si="2"/>
        <v>0</v>
      </c>
      <c r="AL11" s="44">
        <f t="shared" si="2"/>
        <v>0</v>
      </c>
    </row>
    <row r="12" spans="1:56" x14ac:dyDescent="0.25">
      <c r="A12" s="282">
        <f t="shared" si="3"/>
        <v>0</v>
      </c>
      <c r="B12" s="39">
        <f>+DESP_JANEIRO!B11</f>
        <v>5.9</v>
      </c>
      <c r="C12" s="39">
        <f>+DESP_JANEIRO!C11</f>
        <v>3</v>
      </c>
      <c r="D12" s="40">
        <f ca="1">+DESP_JANEIRO!F11</f>
        <v>5.9</v>
      </c>
      <c r="E12" s="41">
        <f t="shared" si="4"/>
        <v>5.9</v>
      </c>
      <c r="F12" s="42">
        <f t="shared" si="5"/>
        <v>1</v>
      </c>
      <c r="G12" s="43"/>
      <c r="H12" s="44">
        <f t="shared" si="6"/>
        <v>0</v>
      </c>
      <c r="I12" s="44">
        <f t="shared" si="2"/>
        <v>0</v>
      </c>
      <c r="J12" s="44">
        <f t="shared" si="2"/>
        <v>5.9</v>
      </c>
      <c r="K12" s="44">
        <f t="shared" si="2"/>
        <v>0</v>
      </c>
      <c r="L12" s="44">
        <f t="shared" si="2"/>
        <v>0</v>
      </c>
      <c r="M12" s="44">
        <f t="shared" si="2"/>
        <v>0</v>
      </c>
      <c r="N12" s="44">
        <f t="shared" si="2"/>
        <v>0</v>
      </c>
      <c r="O12" s="44">
        <f t="shared" si="2"/>
        <v>0</v>
      </c>
      <c r="P12" s="44">
        <f t="shared" si="2"/>
        <v>0</v>
      </c>
      <c r="Q12" s="44">
        <f t="shared" si="2"/>
        <v>0</v>
      </c>
      <c r="R12" s="44">
        <f t="shared" si="2"/>
        <v>0</v>
      </c>
      <c r="S12" s="44">
        <f t="shared" si="2"/>
        <v>0</v>
      </c>
      <c r="T12" s="44">
        <f t="shared" si="2"/>
        <v>0</v>
      </c>
      <c r="U12" s="44">
        <f t="shared" si="2"/>
        <v>0</v>
      </c>
      <c r="V12" s="44">
        <f t="shared" si="2"/>
        <v>0</v>
      </c>
      <c r="W12" s="44">
        <f t="shared" si="2"/>
        <v>0</v>
      </c>
      <c r="X12" s="44">
        <f t="shared" si="2"/>
        <v>0</v>
      </c>
      <c r="Y12" s="44">
        <f t="shared" si="2"/>
        <v>0</v>
      </c>
      <c r="Z12" s="44">
        <f t="shared" si="2"/>
        <v>0</v>
      </c>
      <c r="AA12" s="44">
        <f t="shared" si="2"/>
        <v>0</v>
      </c>
      <c r="AB12" s="44">
        <f t="shared" si="2"/>
        <v>0</v>
      </c>
      <c r="AC12" s="44">
        <f t="shared" si="2"/>
        <v>0</v>
      </c>
      <c r="AD12" s="44">
        <f t="shared" si="2"/>
        <v>0</v>
      </c>
      <c r="AE12" s="44">
        <f t="shared" si="2"/>
        <v>0</v>
      </c>
      <c r="AF12" s="44">
        <f t="shared" si="2"/>
        <v>0</v>
      </c>
      <c r="AG12" s="44">
        <f t="shared" si="2"/>
        <v>0</v>
      </c>
      <c r="AH12" s="44">
        <f t="shared" si="2"/>
        <v>0</v>
      </c>
      <c r="AI12" s="44">
        <f t="shared" si="2"/>
        <v>0</v>
      </c>
      <c r="AJ12" s="44">
        <f t="shared" si="2"/>
        <v>0</v>
      </c>
      <c r="AK12" s="44">
        <f t="shared" si="2"/>
        <v>0</v>
      </c>
      <c r="AL12" s="44">
        <f t="shared" si="2"/>
        <v>0</v>
      </c>
    </row>
    <row r="13" spans="1:56" x14ac:dyDescent="0.25">
      <c r="A13" s="282">
        <f t="shared" si="3"/>
        <v>0</v>
      </c>
      <c r="B13" s="39">
        <f>+DESP_JANEIRO!B12</f>
        <v>44.9</v>
      </c>
      <c r="C13" s="39">
        <f>+DESP_JANEIRO!C12</f>
        <v>7</v>
      </c>
      <c r="D13" s="40">
        <f ca="1">+DESP_JANEIRO!F12</f>
        <v>44.9</v>
      </c>
      <c r="E13" s="41">
        <f t="shared" si="4"/>
        <v>44.9</v>
      </c>
      <c r="F13" s="42">
        <f t="shared" si="5"/>
        <v>1</v>
      </c>
      <c r="G13" s="43"/>
      <c r="H13" s="44">
        <f t="shared" si="6"/>
        <v>0</v>
      </c>
      <c r="I13" s="44">
        <f t="shared" si="2"/>
        <v>0</v>
      </c>
      <c r="J13" s="44">
        <f t="shared" si="2"/>
        <v>0</v>
      </c>
      <c r="K13" s="44">
        <f t="shared" si="2"/>
        <v>0</v>
      </c>
      <c r="L13" s="44">
        <f t="shared" si="2"/>
        <v>0</v>
      </c>
      <c r="M13" s="44">
        <f t="shared" si="2"/>
        <v>0</v>
      </c>
      <c r="N13" s="44">
        <f t="shared" si="2"/>
        <v>44.9</v>
      </c>
      <c r="O13" s="44">
        <f t="shared" si="2"/>
        <v>0</v>
      </c>
      <c r="P13" s="44">
        <f t="shared" si="2"/>
        <v>0</v>
      </c>
      <c r="Q13" s="44">
        <f t="shared" si="2"/>
        <v>0</v>
      </c>
      <c r="R13" s="44">
        <f t="shared" si="2"/>
        <v>0</v>
      </c>
      <c r="S13" s="44">
        <f t="shared" si="2"/>
        <v>0</v>
      </c>
      <c r="T13" s="44">
        <f t="shared" si="2"/>
        <v>0</v>
      </c>
      <c r="U13" s="44">
        <f t="shared" si="2"/>
        <v>0</v>
      </c>
      <c r="V13" s="44">
        <f t="shared" si="2"/>
        <v>0</v>
      </c>
      <c r="W13" s="44">
        <f t="shared" si="2"/>
        <v>0</v>
      </c>
      <c r="X13" s="44">
        <f t="shared" si="2"/>
        <v>0</v>
      </c>
      <c r="Y13" s="44">
        <f t="shared" si="2"/>
        <v>0</v>
      </c>
      <c r="Z13" s="44">
        <f t="shared" si="2"/>
        <v>0</v>
      </c>
      <c r="AA13" s="44">
        <f t="shared" si="2"/>
        <v>0</v>
      </c>
      <c r="AB13" s="44">
        <f t="shared" si="2"/>
        <v>0</v>
      </c>
      <c r="AC13" s="44">
        <f t="shared" si="2"/>
        <v>0</v>
      </c>
      <c r="AD13" s="44">
        <f t="shared" si="2"/>
        <v>0</v>
      </c>
      <c r="AE13" s="44">
        <f t="shared" si="2"/>
        <v>0</v>
      </c>
      <c r="AF13" s="44">
        <f t="shared" si="2"/>
        <v>0</v>
      </c>
      <c r="AG13" s="44">
        <f t="shared" si="2"/>
        <v>0</v>
      </c>
      <c r="AH13" s="44">
        <f t="shared" si="2"/>
        <v>0</v>
      </c>
      <c r="AI13" s="44">
        <f t="shared" si="2"/>
        <v>0</v>
      </c>
      <c r="AJ13" s="44">
        <f t="shared" si="2"/>
        <v>0</v>
      </c>
      <c r="AK13" s="44">
        <f t="shared" si="2"/>
        <v>0</v>
      </c>
      <c r="AL13" s="44">
        <f t="shared" si="2"/>
        <v>0</v>
      </c>
    </row>
    <row r="14" spans="1:56" x14ac:dyDescent="0.25">
      <c r="A14" s="282">
        <f t="shared" si="3"/>
        <v>0</v>
      </c>
      <c r="B14" s="39">
        <f>+DESP_JANEIRO!B13</f>
        <v>96.99</v>
      </c>
      <c r="C14" s="39">
        <f>+DESP_JANEIRO!C13</f>
        <v>22</v>
      </c>
      <c r="D14" s="40">
        <f ca="1">+DESP_JANEIRO!F13</f>
        <v>0</v>
      </c>
      <c r="E14" s="41">
        <f t="shared" si="4"/>
        <v>96.99</v>
      </c>
      <c r="F14" s="42">
        <f t="shared" si="5"/>
        <v>1</v>
      </c>
      <c r="G14" s="43"/>
      <c r="H14" s="44">
        <f t="shared" si="6"/>
        <v>0</v>
      </c>
      <c r="I14" s="44">
        <f t="shared" si="2"/>
        <v>0</v>
      </c>
      <c r="J14" s="44">
        <f t="shared" si="2"/>
        <v>0</v>
      </c>
      <c r="K14" s="44">
        <f t="shared" si="2"/>
        <v>0</v>
      </c>
      <c r="L14" s="44">
        <f t="shared" si="2"/>
        <v>0</v>
      </c>
      <c r="M14" s="44">
        <f t="shared" si="2"/>
        <v>0</v>
      </c>
      <c r="N14" s="44">
        <f t="shared" si="2"/>
        <v>0</v>
      </c>
      <c r="O14" s="44">
        <f t="shared" si="2"/>
        <v>0</v>
      </c>
      <c r="P14" s="44">
        <f t="shared" si="2"/>
        <v>0</v>
      </c>
      <c r="Q14" s="44">
        <f t="shared" si="2"/>
        <v>0</v>
      </c>
      <c r="R14" s="44">
        <f t="shared" si="2"/>
        <v>0</v>
      </c>
      <c r="S14" s="44">
        <f t="shared" si="2"/>
        <v>0</v>
      </c>
      <c r="T14" s="44">
        <f t="shared" si="2"/>
        <v>0</v>
      </c>
      <c r="U14" s="44">
        <f t="shared" si="2"/>
        <v>0</v>
      </c>
      <c r="V14" s="44">
        <f t="shared" si="2"/>
        <v>0</v>
      </c>
      <c r="W14" s="44">
        <f t="shared" si="2"/>
        <v>0</v>
      </c>
      <c r="X14" s="44">
        <f t="shared" ref="X14:AL26" si="7">+IF(X$3&gt;$D$2,0,IF($C14=X$3,$B14,0))</f>
        <v>0</v>
      </c>
      <c r="Y14" s="44">
        <f t="shared" si="7"/>
        <v>0</v>
      </c>
      <c r="Z14" s="44">
        <f t="shared" si="7"/>
        <v>0</v>
      </c>
      <c r="AA14" s="44">
        <f t="shared" si="7"/>
        <v>0</v>
      </c>
      <c r="AB14" s="44">
        <f t="shared" si="7"/>
        <v>0</v>
      </c>
      <c r="AC14" s="44">
        <f t="shared" si="7"/>
        <v>96.99</v>
      </c>
      <c r="AD14" s="44">
        <f t="shared" si="7"/>
        <v>0</v>
      </c>
      <c r="AE14" s="44">
        <f t="shared" si="7"/>
        <v>0</v>
      </c>
      <c r="AF14" s="44">
        <f t="shared" si="7"/>
        <v>0</v>
      </c>
      <c r="AG14" s="44">
        <f t="shared" si="7"/>
        <v>0</v>
      </c>
      <c r="AH14" s="44">
        <f t="shared" si="7"/>
        <v>0</v>
      </c>
      <c r="AI14" s="44">
        <f t="shared" si="7"/>
        <v>0</v>
      </c>
      <c r="AJ14" s="44">
        <f t="shared" si="7"/>
        <v>0</v>
      </c>
      <c r="AK14" s="44">
        <f t="shared" si="7"/>
        <v>0</v>
      </c>
      <c r="AL14" s="44">
        <f t="shared" si="7"/>
        <v>0</v>
      </c>
    </row>
    <row r="15" spans="1:56" x14ac:dyDescent="0.25">
      <c r="A15" s="282">
        <f t="shared" si="3"/>
        <v>0</v>
      </c>
      <c r="B15" s="39">
        <f>+DESP_JANEIRO!B14</f>
        <v>286.77999999999997</v>
      </c>
      <c r="C15" s="39">
        <f>+DESP_JANEIRO!C14</f>
        <v>28</v>
      </c>
      <c r="D15" s="40">
        <f ca="1">+DESP_JANEIRO!F14</f>
        <v>0</v>
      </c>
      <c r="E15" s="41">
        <f t="shared" si="4"/>
        <v>286.77999999999997</v>
      </c>
      <c r="F15" s="42">
        <f t="shared" si="5"/>
        <v>1</v>
      </c>
      <c r="G15" s="43"/>
      <c r="H15" s="44">
        <f t="shared" si="6"/>
        <v>0</v>
      </c>
      <c r="I15" s="44">
        <f t="shared" ref="I15:W26" si="8">+IF(I$3&gt;$D$2,0,IF($C15=I$3,$B15,0))</f>
        <v>0</v>
      </c>
      <c r="J15" s="44">
        <f t="shared" si="8"/>
        <v>0</v>
      </c>
      <c r="K15" s="44">
        <f t="shared" si="8"/>
        <v>0</v>
      </c>
      <c r="L15" s="44">
        <f t="shared" si="8"/>
        <v>0</v>
      </c>
      <c r="M15" s="44">
        <f t="shared" si="8"/>
        <v>0</v>
      </c>
      <c r="N15" s="44">
        <f t="shared" si="8"/>
        <v>0</v>
      </c>
      <c r="O15" s="44">
        <f t="shared" si="8"/>
        <v>0</v>
      </c>
      <c r="P15" s="44">
        <f t="shared" si="8"/>
        <v>0</v>
      </c>
      <c r="Q15" s="44">
        <f t="shared" si="8"/>
        <v>0</v>
      </c>
      <c r="R15" s="44">
        <f t="shared" si="8"/>
        <v>0</v>
      </c>
      <c r="S15" s="44">
        <f t="shared" si="8"/>
        <v>0</v>
      </c>
      <c r="T15" s="44">
        <f t="shared" si="8"/>
        <v>0</v>
      </c>
      <c r="U15" s="44">
        <f t="shared" si="8"/>
        <v>0</v>
      </c>
      <c r="V15" s="44">
        <f t="shared" si="8"/>
        <v>0</v>
      </c>
      <c r="W15" s="44">
        <f t="shared" si="8"/>
        <v>0</v>
      </c>
      <c r="X15" s="44">
        <f t="shared" si="7"/>
        <v>0</v>
      </c>
      <c r="Y15" s="44">
        <f t="shared" si="7"/>
        <v>0</v>
      </c>
      <c r="Z15" s="44">
        <f t="shared" si="7"/>
        <v>0</v>
      </c>
      <c r="AA15" s="44">
        <f t="shared" si="7"/>
        <v>0</v>
      </c>
      <c r="AB15" s="44">
        <f t="shared" si="7"/>
        <v>0</v>
      </c>
      <c r="AC15" s="44">
        <f t="shared" si="7"/>
        <v>0</v>
      </c>
      <c r="AD15" s="44">
        <f t="shared" si="7"/>
        <v>0</v>
      </c>
      <c r="AE15" s="44">
        <f t="shared" si="7"/>
        <v>0</v>
      </c>
      <c r="AF15" s="44">
        <f t="shared" si="7"/>
        <v>0</v>
      </c>
      <c r="AG15" s="44">
        <f t="shared" si="7"/>
        <v>0</v>
      </c>
      <c r="AH15" s="44">
        <f t="shared" si="7"/>
        <v>0</v>
      </c>
      <c r="AI15" s="44">
        <f t="shared" si="7"/>
        <v>286.77999999999997</v>
      </c>
      <c r="AJ15" s="44">
        <f t="shared" si="7"/>
        <v>0</v>
      </c>
      <c r="AK15" s="44">
        <f t="shared" si="7"/>
        <v>0</v>
      </c>
      <c r="AL15" s="44">
        <f t="shared" si="7"/>
        <v>0</v>
      </c>
    </row>
    <row r="16" spans="1:56" x14ac:dyDescent="0.25">
      <c r="A16" s="282">
        <f t="shared" si="3"/>
        <v>0</v>
      </c>
      <c r="B16" s="39">
        <f>+DESP_JANEIRO!B15</f>
        <v>29.9</v>
      </c>
      <c r="C16" s="39">
        <f>+DESP_JANEIRO!C15</f>
        <v>28</v>
      </c>
      <c r="D16" s="40">
        <f ca="1">+DESP_JANEIRO!F15</f>
        <v>0</v>
      </c>
      <c r="E16" s="41">
        <f t="shared" si="4"/>
        <v>29.9</v>
      </c>
      <c r="F16" s="42">
        <f t="shared" si="5"/>
        <v>1</v>
      </c>
      <c r="G16" s="43"/>
      <c r="H16" s="44">
        <f t="shared" si="6"/>
        <v>0</v>
      </c>
      <c r="I16" s="44">
        <f t="shared" si="8"/>
        <v>0</v>
      </c>
      <c r="J16" s="44">
        <f t="shared" si="8"/>
        <v>0</v>
      </c>
      <c r="K16" s="44">
        <f t="shared" si="8"/>
        <v>0</v>
      </c>
      <c r="L16" s="44">
        <f t="shared" si="8"/>
        <v>0</v>
      </c>
      <c r="M16" s="44">
        <f t="shared" si="8"/>
        <v>0</v>
      </c>
      <c r="N16" s="44">
        <f t="shared" si="8"/>
        <v>0</v>
      </c>
      <c r="O16" s="44">
        <f t="shared" si="8"/>
        <v>0</v>
      </c>
      <c r="P16" s="44">
        <f t="shared" si="8"/>
        <v>0</v>
      </c>
      <c r="Q16" s="44">
        <f t="shared" si="8"/>
        <v>0</v>
      </c>
      <c r="R16" s="44">
        <f t="shared" si="8"/>
        <v>0</v>
      </c>
      <c r="S16" s="44">
        <f t="shared" si="8"/>
        <v>0</v>
      </c>
      <c r="T16" s="44">
        <f t="shared" si="8"/>
        <v>0</v>
      </c>
      <c r="U16" s="44">
        <f t="shared" si="8"/>
        <v>0</v>
      </c>
      <c r="V16" s="44">
        <f t="shared" si="8"/>
        <v>0</v>
      </c>
      <c r="W16" s="44">
        <f t="shared" si="8"/>
        <v>0</v>
      </c>
      <c r="X16" s="44">
        <f t="shared" si="7"/>
        <v>0</v>
      </c>
      <c r="Y16" s="44">
        <f t="shared" si="7"/>
        <v>0</v>
      </c>
      <c r="Z16" s="44">
        <f t="shared" si="7"/>
        <v>0</v>
      </c>
      <c r="AA16" s="44">
        <f t="shared" si="7"/>
        <v>0</v>
      </c>
      <c r="AB16" s="44">
        <f t="shared" si="7"/>
        <v>0</v>
      </c>
      <c r="AC16" s="44">
        <f t="shared" si="7"/>
        <v>0</v>
      </c>
      <c r="AD16" s="44">
        <f t="shared" si="7"/>
        <v>0</v>
      </c>
      <c r="AE16" s="44">
        <f t="shared" si="7"/>
        <v>0</v>
      </c>
      <c r="AF16" s="44">
        <f t="shared" si="7"/>
        <v>0</v>
      </c>
      <c r="AG16" s="44">
        <f t="shared" si="7"/>
        <v>0</v>
      </c>
      <c r="AH16" s="44">
        <f t="shared" si="7"/>
        <v>0</v>
      </c>
      <c r="AI16" s="44">
        <f t="shared" si="7"/>
        <v>29.9</v>
      </c>
      <c r="AJ16" s="44">
        <f t="shared" si="7"/>
        <v>0</v>
      </c>
      <c r="AK16" s="44">
        <f t="shared" si="7"/>
        <v>0</v>
      </c>
      <c r="AL16" s="44">
        <f t="shared" si="7"/>
        <v>0</v>
      </c>
    </row>
    <row r="17" spans="1:38" x14ac:dyDescent="0.25">
      <c r="A17" s="282">
        <f t="shared" si="3"/>
        <v>0</v>
      </c>
      <c r="B17" s="39">
        <f>+DESP_JANEIRO!B16</f>
        <v>5.9</v>
      </c>
      <c r="C17" s="39">
        <f>+DESP_JANEIRO!C16</f>
        <v>5</v>
      </c>
      <c r="D17" s="40">
        <f ca="1">+DESP_JANEIRO!F16</f>
        <v>5.9</v>
      </c>
      <c r="E17" s="41">
        <f t="shared" si="4"/>
        <v>5.9</v>
      </c>
      <c r="F17" s="42">
        <f t="shared" si="5"/>
        <v>1</v>
      </c>
      <c r="G17" s="43"/>
      <c r="H17" s="44">
        <f t="shared" si="6"/>
        <v>0</v>
      </c>
      <c r="I17" s="44">
        <f t="shared" si="8"/>
        <v>0</v>
      </c>
      <c r="J17" s="44">
        <f t="shared" si="8"/>
        <v>0</v>
      </c>
      <c r="K17" s="44">
        <f t="shared" si="8"/>
        <v>0</v>
      </c>
      <c r="L17" s="44">
        <f t="shared" si="8"/>
        <v>5.9</v>
      </c>
      <c r="M17" s="44">
        <f t="shared" si="8"/>
        <v>0</v>
      </c>
      <c r="N17" s="44">
        <f t="shared" si="8"/>
        <v>0</v>
      </c>
      <c r="O17" s="44">
        <f t="shared" si="8"/>
        <v>0</v>
      </c>
      <c r="P17" s="44">
        <f t="shared" si="8"/>
        <v>0</v>
      </c>
      <c r="Q17" s="44">
        <f t="shared" si="8"/>
        <v>0</v>
      </c>
      <c r="R17" s="44">
        <f t="shared" si="8"/>
        <v>0</v>
      </c>
      <c r="S17" s="44">
        <f t="shared" si="8"/>
        <v>0</v>
      </c>
      <c r="T17" s="44">
        <f t="shared" si="8"/>
        <v>0</v>
      </c>
      <c r="U17" s="44">
        <f t="shared" si="8"/>
        <v>0</v>
      </c>
      <c r="V17" s="44">
        <f t="shared" si="8"/>
        <v>0</v>
      </c>
      <c r="W17" s="44">
        <f t="shared" si="8"/>
        <v>0</v>
      </c>
      <c r="X17" s="44">
        <f t="shared" si="7"/>
        <v>0</v>
      </c>
      <c r="Y17" s="44">
        <f t="shared" si="7"/>
        <v>0</v>
      </c>
      <c r="Z17" s="44">
        <f t="shared" si="7"/>
        <v>0</v>
      </c>
      <c r="AA17" s="44">
        <f t="shared" si="7"/>
        <v>0</v>
      </c>
      <c r="AB17" s="44">
        <f t="shared" si="7"/>
        <v>0</v>
      </c>
      <c r="AC17" s="44">
        <f t="shared" si="7"/>
        <v>0</v>
      </c>
      <c r="AD17" s="44">
        <f t="shared" si="7"/>
        <v>0</v>
      </c>
      <c r="AE17" s="44">
        <f t="shared" si="7"/>
        <v>0</v>
      </c>
      <c r="AF17" s="44">
        <f t="shared" si="7"/>
        <v>0</v>
      </c>
      <c r="AG17" s="44">
        <f t="shared" si="7"/>
        <v>0</v>
      </c>
      <c r="AH17" s="44">
        <f t="shared" si="7"/>
        <v>0</v>
      </c>
      <c r="AI17" s="44">
        <f t="shared" si="7"/>
        <v>0</v>
      </c>
      <c r="AJ17" s="44">
        <f t="shared" si="7"/>
        <v>0</v>
      </c>
      <c r="AK17" s="44">
        <f t="shared" si="7"/>
        <v>0</v>
      </c>
      <c r="AL17" s="44">
        <f t="shared" si="7"/>
        <v>0</v>
      </c>
    </row>
    <row r="18" spans="1:38" x14ac:dyDescent="0.25">
      <c r="A18" s="282">
        <f t="shared" si="3"/>
        <v>0</v>
      </c>
      <c r="B18" s="39">
        <f>+DESP_JANEIRO!B17</f>
        <v>22.99</v>
      </c>
      <c r="C18" s="39">
        <f>+DESP_JANEIRO!C17</f>
        <v>4</v>
      </c>
      <c r="D18" s="40">
        <f ca="1">+DESP_JANEIRO!F17</f>
        <v>22.99</v>
      </c>
      <c r="E18" s="41">
        <f t="shared" si="4"/>
        <v>22.99</v>
      </c>
      <c r="F18" s="42">
        <f t="shared" si="5"/>
        <v>1</v>
      </c>
      <c r="G18" s="43"/>
      <c r="H18" s="44">
        <f t="shared" si="6"/>
        <v>0</v>
      </c>
      <c r="I18" s="44">
        <f t="shared" si="8"/>
        <v>0</v>
      </c>
      <c r="J18" s="44">
        <f t="shared" si="8"/>
        <v>0</v>
      </c>
      <c r="K18" s="44">
        <f t="shared" si="8"/>
        <v>22.99</v>
      </c>
      <c r="L18" s="44">
        <f t="shared" si="8"/>
        <v>0</v>
      </c>
      <c r="M18" s="44">
        <f t="shared" si="8"/>
        <v>0</v>
      </c>
      <c r="N18" s="44">
        <f t="shared" si="8"/>
        <v>0</v>
      </c>
      <c r="O18" s="44">
        <f t="shared" si="8"/>
        <v>0</v>
      </c>
      <c r="P18" s="44">
        <f t="shared" si="8"/>
        <v>0</v>
      </c>
      <c r="Q18" s="44">
        <f t="shared" si="8"/>
        <v>0</v>
      </c>
      <c r="R18" s="44">
        <f t="shared" si="8"/>
        <v>0</v>
      </c>
      <c r="S18" s="44">
        <f t="shared" si="8"/>
        <v>0</v>
      </c>
      <c r="T18" s="44">
        <f t="shared" si="8"/>
        <v>0</v>
      </c>
      <c r="U18" s="44">
        <f t="shared" si="8"/>
        <v>0</v>
      </c>
      <c r="V18" s="44">
        <f t="shared" si="8"/>
        <v>0</v>
      </c>
      <c r="W18" s="44">
        <f t="shared" si="8"/>
        <v>0</v>
      </c>
      <c r="X18" s="44">
        <f t="shared" si="7"/>
        <v>0</v>
      </c>
      <c r="Y18" s="44">
        <f t="shared" si="7"/>
        <v>0</v>
      </c>
      <c r="Z18" s="44">
        <f t="shared" si="7"/>
        <v>0</v>
      </c>
      <c r="AA18" s="44">
        <f t="shared" si="7"/>
        <v>0</v>
      </c>
      <c r="AB18" s="44">
        <f t="shared" si="7"/>
        <v>0</v>
      </c>
      <c r="AC18" s="44">
        <f t="shared" si="7"/>
        <v>0</v>
      </c>
      <c r="AD18" s="44">
        <f t="shared" si="7"/>
        <v>0</v>
      </c>
      <c r="AE18" s="44">
        <f t="shared" si="7"/>
        <v>0</v>
      </c>
      <c r="AF18" s="44">
        <f t="shared" si="7"/>
        <v>0</v>
      </c>
      <c r="AG18" s="44">
        <f t="shared" si="7"/>
        <v>0</v>
      </c>
      <c r="AH18" s="44">
        <f t="shared" si="7"/>
        <v>0</v>
      </c>
      <c r="AI18" s="44">
        <f t="shared" si="7"/>
        <v>0</v>
      </c>
      <c r="AJ18" s="44">
        <f t="shared" si="7"/>
        <v>0</v>
      </c>
      <c r="AK18" s="44">
        <f t="shared" si="7"/>
        <v>0</v>
      </c>
      <c r="AL18" s="44">
        <f t="shared" si="7"/>
        <v>0</v>
      </c>
    </row>
    <row r="19" spans="1:38" x14ac:dyDescent="0.25">
      <c r="A19" s="282">
        <f t="shared" si="3"/>
        <v>0</v>
      </c>
      <c r="B19" s="39">
        <f>+DESP_JANEIRO!B18</f>
        <v>60</v>
      </c>
      <c r="C19" s="39">
        <f>+DESP_JANEIRO!C18</f>
        <v>3</v>
      </c>
      <c r="D19" s="40">
        <f ca="1">+DESP_JANEIRO!F18</f>
        <v>60</v>
      </c>
      <c r="E19" s="41">
        <f t="shared" si="4"/>
        <v>60</v>
      </c>
      <c r="F19" s="42">
        <f t="shared" si="5"/>
        <v>1</v>
      </c>
      <c r="G19" s="43"/>
      <c r="H19" s="44">
        <f t="shared" si="6"/>
        <v>0</v>
      </c>
      <c r="I19" s="44">
        <f t="shared" si="8"/>
        <v>0</v>
      </c>
      <c r="J19" s="44">
        <f t="shared" si="8"/>
        <v>60</v>
      </c>
      <c r="K19" s="44">
        <f t="shared" si="8"/>
        <v>0</v>
      </c>
      <c r="L19" s="44">
        <f t="shared" si="8"/>
        <v>0</v>
      </c>
      <c r="M19" s="44">
        <f t="shared" si="8"/>
        <v>0</v>
      </c>
      <c r="N19" s="44">
        <f t="shared" si="8"/>
        <v>0</v>
      </c>
      <c r="O19" s="44">
        <f t="shared" si="8"/>
        <v>0</v>
      </c>
      <c r="P19" s="44">
        <f t="shared" si="8"/>
        <v>0</v>
      </c>
      <c r="Q19" s="44">
        <f t="shared" si="8"/>
        <v>0</v>
      </c>
      <c r="R19" s="44">
        <f t="shared" si="8"/>
        <v>0</v>
      </c>
      <c r="S19" s="44">
        <f t="shared" si="8"/>
        <v>0</v>
      </c>
      <c r="T19" s="44">
        <f t="shared" si="8"/>
        <v>0</v>
      </c>
      <c r="U19" s="44">
        <f t="shared" si="8"/>
        <v>0</v>
      </c>
      <c r="V19" s="44">
        <f t="shared" si="8"/>
        <v>0</v>
      </c>
      <c r="W19" s="44">
        <f t="shared" si="8"/>
        <v>0</v>
      </c>
      <c r="X19" s="44">
        <f t="shared" si="7"/>
        <v>0</v>
      </c>
      <c r="Y19" s="44">
        <f t="shared" si="7"/>
        <v>0</v>
      </c>
      <c r="Z19" s="44">
        <f t="shared" si="7"/>
        <v>0</v>
      </c>
      <c r="AA19" s="44">
        <f t="shared" si="7"/>
        <v>0</v>
      </c>
      <c r="AB19" s="44">
        <f t="shared" si="7"/>
        <v>0</v>
      </c>
      <c r="AC19" s="44">
        <f t="shared" si="7"/>
        <v>0</v>
      </c>
      <c r="AD19" s="44">
        <f t="shared" si="7"/>
        <v>0</v>
      </c>
      <c r="AE19" s="44">
        <f t="shared" si="7"/>
        <v>0</v>
      </c>
      <c r="AF19" s="44">
        <f t="shared" si="7"/>
        <v>0</v>
      </c>
      <c r="AG19" s="44">
        <f t="shared" si="7"/>
        <v>0</v>
      </c>
      <c r="AH19" s="44">
        <f t="shared" si="7"/>
        <v>0</v>
      </c>
      <c r="AI19" s="44">
        <f t="shared" si="7"/>
        <v>0</v>
      </c>
      <c r="AJ19" s="44">
        <f t="shared" si="7"/>
        <v>0</v>
      </c>
      <c r="AK19" s="44">
        <f t="shared" si="7"/>
        <v>0</v>
      </c>
      <c r="AL19" s="44">
        <f t="shared" si="7"/>
        <v>0</v>
      </c>
    </row>
    <row r="20" spans="1:38" x14ac:dyDescent="0.25">
      <c r="A20" s="282">
        <f t="shared" si="3"/>
        <v>0</v>
      </c>
      <c r="B20" s="39">
        <f>+DESP_JANEIRO!B19</f>
        <v>0</v>
      </c>
      <c r="C20" s="39">
        <f>+DESP_JANEIRO!C19</f>
        <v>0</v>
      </c>
      <c r="D20" s="40">
        <f ca="1">+DESP_JANEIRO!F19</f>
        <v>0</v>
      </c>
      <c r="E20" s="41">
        <f t="shared" si="4"/>
        <v>0</v>
      </c>
      <c r="F20" s="42" t="str">
        <f t="shared" si="5"/>
        <v>-</v>
      </c>
      <c r="G20" s="43"/>
      <c r="H20" s="44">
        <f t="shared" si="6"/>
        <v>0</v>
      </c>
      <c r="I20" s="44">
        <f t="shared" si="8"/>
        <v>0</v>
      </c>
      <c r="J20" s="44">
        <f t="shared" si="8"/>
        <v>0</v>
      </c>
      <c r="K20" s="44">
        <f t="shared" si="8"/>
        <v>0</v>
      </c>
      <c r="L20" s="44">
        <f t="shared" si="8"/>
        <v>0</v>
      </c>
      <c r="M20" s="44">
        <f t="shared" si="8"/>
        <v>0</v>
      </c>
      <c r="N20" s="44">
        <f t="shared" si="8"/>
        <v>0</v>
      </c>
      <c r="O20" s="44">
        <f t="shared" si="8"/>
        <v>0</v>
      </c>
      <c r="P20" s="44">
        <f t="shared" si="8"/>
        <v>0</v>
      </c>
      <c r="Q20" s="44">
        <f t="shared" si="8"/>
        <v>0</v>
      </c>
      <c r="R20" s="44">
        <f t="shared" si="8"/>
        <v>0</v>
      </c>
      <c r="S20" s="44">
        <f t="shared" si="8"/>
        <v>0</v>
      </c>
      <c r="T20" s="44">
        <f t="shared" si="8"/>
        <v>0</v>
      </c>
      <c r="U20" s="44">
        <f t="shared" si="8"/>
        <v>0</v>
      </c>
      <c r="V20" s="44">
        <f t="shared" si="8"/>
        <v>0</v>
      </c>
      <c r="W20" s="44">
        <f t="shared" si="8"/>
        <v>0</v>
      </c>
      <c r="X20" s="44">
        <f t="shared" si="7"/>
        <v>0</v>
      </c>
      <c r="Y20" s="44">
        <f t="shared" si="7"/>
        <v>0</v>
      </c>
      <c r="Z20" s="44">
        <f t="shared" si="7"/>
        <v>0</v>
      </c>
      <c r="AA20" s="44">
        <f t="shared" si="7"/>
        <v>0</v>
      </c>
      <c r="AB20" s="44">
        <f t="shared" si="7"/>
        <v>0</v>
      </c>
      <c r="AC20" s="44">
        <f t="shared" si="7"/>
        <v>0</v>
      </c>
      <c r="AD20" s="44">
        <f t="shared" si="7"/>
        <v>0</v>
      </c>
      <c r="AE20" s="44">
        <f t="shared" si="7"/>
        <v>0</v>
      </c>
      <c r="AF20" s="44">
        <f t="shared" si="7"/>
        <v>0</v>
      </c>
      <c r="AG20" s="44">
        <f t="shared" si="7"/>
        <v>0</v>
      </c>
      <c r="AH20" s="44">
        <f t="shared" si="7"/>
        <v>0</v>
      </c>
      <c r="AI20" s="44">
        <f t="shared" si="7"/>
        <v>0</v>
      </c>
      <c r="AJ20" s="44">
        <f t="shared" si="7"/>
        <v>0</v>
      </c>
      <c r="AK20" s="44">
        <f t="shared" si="7"/>
        <v>0</v>
      </c>
      <c r="AL20" s="44">
        <f t="shared" si="7"/>
        <v>0</v>
      </c>
    </row>
    <row r="21" spans="1:38" x14ac:dyDescent="0.25">
      <c r="A21" s="282">
        <f t="shared" si="3"/>
        <v>0</v>
      </c>
      <c r="B21" s="39">
        <f>+DESP_JANEIRO!B20</f>
        <v>0</v>
      </c>
      <c r="C21" s="39">
        <f>+DESP_JANEIRO!C20</f>
        <v>0</v>
      </c>
      <c r="D21" s="40">
        <f ca="1">+DESP_JANEIRO!F20</f>
        <v>0</v>
      </c>
      <c r="E21" s="41">
        <f t="shared" si="4"/>
        <v>0</v>
      </c>
      <c r="F21" s="42" t="str">
        <f t="shared" si="5"/>
        <v>-</v>
      </c>
      <c r="G21" s="43"/>
      <c r="H21" s="44">
        <f t="shared" si="6"/>
        <v>0</v>
      </c>
      <c r="I21" s="44">
        <f t="shared" si="8"/>
        <v>0</v>
      </c>
      <c r="J21" s="44">
        <f t="shared" si="8"/>
        <v>0</v>
      </c>
      <c r="K21" s="44">
        <f t="shared" si="8"/>
        <v>0</v>
      </c>
      <c r="L21" s="44">
        <f t="shared" si="8"/>
        <v>0</v>
      </c>
      <c r="M21" s="44">
        <f t="shared" si="8"/>
        <v>0</v>
      </c>
      <c r="N21" s="44">
        <f t="shared" si="8"/>
        <v>0</v>
      </c>
      <c r="O21" s="44">
        <f t="shared" si="8"/>
        <v>0</v>
      </c>
      <c r="P21" s="44">
        <f t="shared" si="8"/>
        <v>0</v>
      </c>
      <c r="Q21" s="44">
        <f t="shared" si="8"/>
        <v>0</v>
      </c>
      <c r="R21" s="44">
        <f t="shared" si="8"/>
        <v>0</v>
      </c>
      <c r="S21" s="44">
        <f t="shared" si="8"/>
        <v>0</v>
      </c>
      <c r="T21" s="44">
        <f t="shared" si="8"/>
        <v>0</v>
      </c>
      <c r="U21" s="44">
        <f t="shared" si="8"/>
        <v>0</v>
      </c>
      <c r="V21" s="44">
        <f t="shared" si="8"/>
        <v>0</v>
      </c>
      <c r="W21" s="44">
        <f t="shared" si="8"/>
        <v>0</v>
      </c>
      <c r="X21" s="44">
        <f t="shared" si="7"/>
        <v>0</v>
      </c>
      <c r="Y21" s="44">
        <f t="shared" si="7"/>
        <v>0</v>
      </c>
      <c r="Z21" s="44">
        <f t="shared" si="7"/>
        <v>0</v>
      </c>
      <c r="AA21" s="44">
        <f t="shared" si="7"/>
        <v>0</v>
      </c>
      <c r="AB21" s="44">
        <f t="shared" si="7"/>
        <v>0</v>
      </c>
      <c r="AC21" s="44">
        <f t="shared" si="7"/>
        <v>0</v>
      </c>
      <c r="AD21" s="44">
        <f t="shared" si="7"/>
        <v>0</v>
      </c>
      <c r="AE21" s="44">
        <f t="shared" si="7"/>
        <v>0</v>
      </c>
      <c r="AF21" s="44">
        <f t="shared" si="7"/>
        <v>0</v>
      </c>
      <c r="AG21" s="44">
        <f t="shared" si="7"/>
        <v>0</v>
      </c>
      <c r="AH21" s="44">
        <f t="shared" si="7"/>
        <v>0</v>
      </c>
      <c r="AI21" s="44">
        <f t="shared" si="7"/>
        <v>0</v>
      </c>
      <c r="AJ21" s="44">
        <f t="shared" si="7"/>
        <v>0</v>
      </c>
      <c r="AK21" s="44">
        <f t="shared" si="7"/>
        <v>0</v>
      </c>
      <c r="AL21" s="44">
        <f t="shared" si="7"/>
        <v>0</v>
      </c>
    </row>
    <row r="22" spans="1:38" x14ac:dyDescent="0.25">
      <c r="A22" s="282">
        <f t="shared" si="3"/>
        <v>0</v>
      </c>
      <c r="B22" s="39">
        <f>+DESP_JANEIRO!B21</f>
        <v>0</v>
      </c>
      <c r="C22" s="39">
        <f>+DESP_JANEIRO!C21</f>
        <v>0</v>
      </c>
      <c r="D22" s="40">
        <f ca="1">+DESP_JANEIRO!F21</f>
        <v>0</v>
      </c>
      <c r="E22" s="41">
        <f t="shared" si="4"/>
        <v>0</v>
      </c>
      <c r="F22" s="42" t="str">
        <f t="shared" si="5"/>
        <v>-</v>
      </c>
      <c r="G22" s="43"/>
      <c r="H22" s="44">
        <f t="shared" si="6"/>
        <v>0</v>
      </c>
      <c r="I22" s="44">
        <f t="shared" si="8"/>
        <v>0</v>
      </c>
      <c r="J22" s="44">
        <f t="shared" si="8"/>
        <v>0</v>
      </c>
      <c r="K22" s="44">
        <f t="shared" si="8"/>
        <v>0</v>
      </c>
      <c r="L22" s="44">
        <f t="shared" si="8"/>
        <v>0</v>
      </c>
      <c r="M22" s="44">
        <f t="shared" si="8"/>
        <v>0</v>
      </c>
      <c r="N22" s="44">
        <f t="shared" si="8"/>
        <v>0</v>
      </c>
      <c r="O22" s="44">
        <f t="shared" si="8"/>
        <v>0</v>
      </c>
      <c r="P22" s="44">
        <f t="shared" si="8"/>
        <v>0</v>
      </c>
      <c r="Q22" s="44">
        <f t="shared" si="8"/>
        <v>0</v>
      </c>
      <c r="R22" s="44">
        <f t="shared" si="8"/>
        <v>0</v>
      </c>
      <c r="S22" s="44">
        <f t="shared" si="8"/>
        <v>0</v>
      </c>
      <c r="T22" s="44">
        <f t="shared" si="8"/>
        <v>0</v>
      </c>
      <c r="U22" s="44">
        <f t="shared" si="8"/>
        <v>0</v>
      </c>
      <c r="V22" s="44">
        <f t="shared" si="8"/>
        <v>0</v>
      </c>
      <c r="W22" s="44">
        <f t="shared" si="8"/>
        <v>0</v>
      </c>
      <c r="X22" s="44">
        <f t="shared" si="7"/>
        <v>0</v>
      </c>
      <c r="Y22" s="44">
        <f t="shared" si="7"/>
        <v>0</v>
      </c>
      <c r="Z22" s="44">
        <f t="shared" si="7"/>
        <v>0</v>
      </c>
      <c r="AA22" s="44">
        <f t="shared" si="7"/>
        <v>0</v>
      </c>
      <c r="AB22" s="44">
        <f t="shared" si="7"/>
        <v>0</v>
      </c>
      <c r="AC22" s="44">
        <f t="shared" si="7"/>
        <v>0</v>
      </c>
      <c r="AD22" s="44">
        <f t="shared" si="7"/>
        <v>0</v>
      </c>
      <c r="AE22" s="44">
        <f t="shared" si="7"/>
        <v>0</v>
      </c>
      <c r="AF22" s="44">
        <f t="shared" si="7"/>
        <v>0</v>
      </c>
      <c r="AG22" s="44">
        <f t="shared" si="7"/>
        <v>0</v>
      </c>
      <c r="AH22" s="44">
        <f t="shared" si="7"/>
        <v>0</v>
      </c>
      <c r="AI22" s="44">
        <f t="shared" si="7"/>
        <v>0</v>
      </c>
      <c r="AJ22" s="44">
        <f t="shared" si="7"/>
        <v>0</v>
      </c>
      <c r="AK22" s="44">
        <f t="shared" si="7"/>
        <v>0</v>
      </c>
      <c r="AL22" s="44">
        <f t="shared" si="7"/>
        <v>0</v>
      </c>
    </row>
    <row r="23" spans="1:38" x14ac:dyDescent="0.25">
      <c r="A23" s="282">
        <f t="shared" si="3"/>
        <v>0</v>
      </c>
      <c r="B23" s="39">
        <f>+DESP_JANEIRO!B22</f>
        <v>0</v>
      </c>
      <c r="C23" s="39">
        <f>+DESP_JANEIRO!C22</f>
        <v>0</v>
      </c>
      <c r="D23" s="40">
        <f ca="1">+DESP_JANEIRO!F22</f>
        <v>0</v>
      </c>
      <c r="E23" s="41">
        <f t="shared" si="4"/>
        <v>0</v>
      </c>
      <c r="F23" s="42" t="str">
        <f t="shared" si="5"/>
        <v>-</v>
      </c>
      <c r="G23" s="43"/>
      <c r="H23" s="44">
        <f t="shared" si="6"/>
        <v>0</v>
      </c>
      <c r="I23" s="44">
        <f t="shared" si="8"/>
        <v>0</v>
      </c>
      <c r="J23" s="44">
        <f t="shared" si="8"/>
        <v>0</v>
      </c>
      <c r="K23" s="44">
        <f t="shared" si="8"/>
        <v>0</v>
      </c>
      <c r="L23" s="44">
        <f t="shared" si="8"/>
        <v>0</v>
      </c>
      <c r="M23" s="44">
        <f t="shared" si="8"/>
        <v>0</v>
      </c>
      <c r="N23" s="44">
        <f t="shared" si="8"/>
        <v>0</v>
      </c>
      <c r="O23" s="44">
        <f t="shared" si="8"/>
        <v>0</v>
      </c>
      <c r="P23" s="44">
        <f t="shared" si="8"/>
        <v>0</v>
      </c>
      <c r="Q23" s="44">
        <f t="shared" si="8"/>
        <v>0</v>
      </c>
      <c r="R23" s="44">
        <f t="shared" si="8"/>
        <v>0</v>
      </c>
      <c r="S23" s="44">
        <f t="shared" si="8"/>
        <v>0</v>
      </c>
      <c r="T23" s="44">
        <f t="shared" si="8"/>
        <v>0</v>
      </c>
      <c r="U23" s="44">
        <f t="shared" si="8"/>
        <v>0</v>
      </c>
      <c r="V23" s="44">
        <f t="shared" si="8"/>
        <v>0</v>
      </c>
      <c r="W23" s="44">
        <f t="shared" si="8"/>
        <v>0</v>
      </c>
      <c r="X23" s="44">
        <f t="shared" si="7"/>
        <v>0</v>
      </c>
      <c r="Y23" s="44">
        <f t="shared" si="7"/>
        <v>0</v>
      </c>
      <c r="Z23" s="44">
        <f t="shared" si="7"/>
        <v>0</v>
      </c>
      <c r="AA23" s="44">
        <f t="shared" si="7"/>
        <v>0</v>
      </c>
      <c r="AB23" s="44">
        <f t="shared" si="7"/>
        <v>0</v>
      </c>
      <c r="AC23" s="44">
        <f t="shared" si="7"/>
        <v>0</v>
      </c>
      <c r="AD23" s="44">
        <f t="shared" si="7"/>
        <v>0</v>
      </c>
      <c r="AE23" s="44">
        <f t="shared" si="7"/>
        <v>0</v>
      </c>
      <c r="AF23" s="44">
        <f t="shared" si="7"/>
        <v>0</v>
      </c>
      <c r="AG23" s="44">
        <f t="shared" si="7"/>
        <v>0</v>
      </c>
      <c r="AH23" s="44">
        <f t="shared" si="7"/>
        <v>0</v>
      </c>
      <c r="AI23" s="44">
        <f t="shared" si="7"/>
        <v>0</v>
      </c>
      <c r="AJ23" s="44">
        <f t="shared" si="7"/>
        <v>0</v>
      </c>
      <c r="AK23" s="44">
        <f t="shared" si="7"/>
        <v>0</v>
      </c>
      <c r="AL23" s="44">
        <f t="shared" si="7"/>
        <v>0</v>
      </c>
    </row>
    <row r="24" spans="1:38" x14ac:dyDescent="0.25">
      <c r="A24" s="282">
        <f t="shared" si="3"/>
        <v>0</v>
      </c>
      <c r="B24" s="39">
        <f>+DESP_JANEIRO!B23</f>
        <v>0</v>
      </c>
      <c r="C24" s="39">
        <f>+DESP_JANEIRO!C23</f>
        <v>0</v>
      </c>
      <c r="D24" s="40">
        <f ca="1">+DESP_JANEIRO!F23</f>
        <v>0</v>
      </c>
      <c r="E24" s="41">
        <f t="shared" si="4"/>
        <v>0</v>
      </c>
      <c r="F24" s="42" t="str">
        <f t="shared" si="5"/>
        <v>-</v>
      </c>
      <c r="G24" s="43"/>
      <c r="H24" s="44">
        <f t="shared" si="6"/>
        <v>0</v>
      </c>
      <c r="I24" s="44">
        <f t="shared" si="8"/>
        <v>0</v>
      </c>
      <c r="J24" s="44">
        <f t="shared" si="8"/>
        <v>0</v>
      </c>
      <c r="K24" s="44">
        <f t="shared" si="8"/>
        <v>0</v>
      </c>
      <c r="L24" s="44">
        <f t="shared" si="8"/>
        <v>0</v>
      </c>
      <c r="M24" s="44">
        <f t="shared" si="8"/>
        <v>0</v>
      </c>
      <c r="N24" s="44">
        <f t="shared" si="8"/>
        <v>0</v>
      </c>
      <c r="O24" s="44">
        <f t="shared" si="8"/>
        <v>0</v>
      </c>
      <c r="P24" s="44">
        <f t="shared" si="8"/>
        <v>0</v>
      </c>
      <c r="Q24" s="44">
        <f t="shared" si="8"/>
        <v>0</v>
      </c>
      <c r="R24" s="44">
        <f t="shared" si="8"/>
        <v>0</v>
      </c>
      <c r="S24" s="44">
        <f t="shared" si="8"/>
        <v>0</v>
      </c>
      <c r="T24" s="44">
        <f t="shared" si="8"/>
        <v>0</v>
      </c>
      <c r="U24" s="44">
        <f t="shared" si="8"/>
        <v>0</v>
      </c>
      <c r="V24" s="44">
        <f t="shared" si="8"/>
        <v>0</v>
      </c>
      <c r="W24" s="44">
        <f t="shared" si="8"/>
        <v>0</v>
      </c>
      <c r="X24" s="44">
        <f t="shared" si="7"/>
        <v>0</v>
      </c>
      <c r="Y24" s="44">
        <f t="shared" si="7"/>
        <v>0</v>
      </c>
      <c r="Z24" s="44">
        <f t="shared" si="7"/>
        <v>0</v>
      </c>
      <c r="AA24" s="44">
        <f t="shared" si="7"/>
        <v>0</v>
      </c>
      <c r="AB24" s="44">
        <f t="shared" si="7"/>
        <v>0</v>
      </c>
      <c r="AC24" s="44">
        <f t="shared" si="7"/>
        <v>0</v>
      </c>
      <c r="AD24" s="44">
        <f t="shared" si="7"/>
        <v>0</v>
      </c>
      <c r="AE24" s="44">
        <f t="shared" si="7"/>
        <v>0</v>
      </c>
      <c r="AF24" s="44">
        <f t="shared" si="7"/>
        <v>0</v>
      </c>
      <c r="AG24" s="44">
        <f t="shared" si="7"/>
        <v>0</v>
      </c>
      <c r="AH24" s="44">
        <f t="shared" si="7"/>
        <v>0</v>
      </c>
      <c r="AI24" s="44">
        <f t="shared" si="7"/>
        <v>0</v>
      </c>
      <c r="AJ24" s="44">
        <f t="shared" si="7"/>
        <v>0</v>
      </c>
      <c r="AK24" s="44">
        <f t="shared" si="7"/>
        <v>0</v>
      </c>
      <c r="AL24" s="44">
        <f t="shared" si="7"/>
        <v>0</v>
      </c>
    </row>
    <row r="25" spans="1:38" x14ac:dyDescent="0.25">
      <c r="A25" s="282">
        <f t="shared" si="3"/>
        <v>0</v>
      </c>
      <c r="B25" s="39">
        <f>+DESP_JANEIRO!B24</f>
        <v>0</v>
      </c>
      <c r="C25" s="39">
        <f>+DESP_JANEIRO!C24</f>
        <v>0</v>
      </c>
      <c r="D25" s="40">
        <f ca="1">+DESP_JANEIRO!F24</f>
        <v>0</v>
      </c>
      <c r="E25" s="41">
        <f t="shared" si="4"/>
        <v>0</v>
      </c>
      <c r="F25" s="42" t="str">
        <f t="shared" si="5"/>
        <v>-</v>
      </c>
      <c r="G25" s="43"/>
      <c r="H25" s="44">
        <f t="shared" si="6"/>
        <v>0</v>
      </c>
      <c r="I25" s="44">
        <f t="shared" si="8"/>
        <v>0</v>
      </c>
      <c r="J25" s="44">
        <f t="shared" si="8"/>
        <v>0</v>
      </c>
      <c r="K25" s="44">
        <f t="shared" si="8"/>
        <v>0</v>
      </c>
      <c r="L25" s="44">
        <f t="shared" si="8"/>
        <v>0</v>
      </c>
      <c r="M25" s="44">
        <f t="shared" si="8"/>
        <v>0</v>
      </c>
      <c r="N25" s="44">
        <f t="shared" si="8"/>
        <v>0</v>
      </c>
      <c r="O25" s="44">
        <f t="shared" si="8"/>
        <v>0</v>
      </c>
      <c r="P25" s="44">
        <f t="shared" si="8"/>
        <v>0</v>
      </c>
      <c r="Q25" s="44">
        <f t="shared" si="8"/>
        <v>0</v>
      </c>
      <c r="R25" s="44">
        <f t="shared" si="8"/>
        <v>0</v>
      </c>
      <c r="S25" s="44">
        <f t="shared" si="8"/>
        <v>0</v>
      </c>
      <c r="T25" s="44">
        <f t="shared" si="8"/>
        <v>0</v>
      </c>
      <c r="U25" s="44">
        <f t="shared" si="8"/>
        <v>0</v>
      </c>
      <c r="V25" s="44">
        <f t="shared" si="8"/>
        <v>0</v>
      </c>
      <c r="W25" s="44">
        <f t="shared" si="8"/>
        <v>0</v>
      </c>
      <c r="X25" s="44">
        <f t="shared" si="7"/>
        <v>0</v>
      </c>
      <c r="Y25" s="44">
        <f t="shared" si="7"/>
        <v>0</v>
      </c>
      <c r="Z25" s="44">
        <f t="shared" si="7"/>
        <v>0</v>
      </c>
      <c r="AA25" s="44">
        <f t="shared" si="7"/>
        <v>0</v>
      </c>
      <c r="AB25" s="44">
        <f t="shared" si="7"/>
        <v>0</v>
      </c>
      <c r="AC25" s="44">
        <f t="shared" si="7"/>
        <v>0</v>
      </c>
      <c r="AD25" s="44">
        <f t="shared" si="7"/>
        <v>0</v>
      </c>
      <c r="AE25" s="44">
        <f t="shared" si="7"/>
        <v>0</v>
      </c>
      <c r="AF25" s="44">
        <f t="shared" si="7"/>
        <v>0</v>
      </c>
      <c r="AG25" s="44">
        <f t="shared" si="7"/>
        <v>0</v>
      </c>
      <c r="AH25" s="44">
        <f t="shared" si="7"/>
        <v>0</v>
      </c>
      <c r="AI25" s="44">
        <f t="shared" si="7"/>
        <v>0</v>
      </c>
      <c r="AJ25" s="44">
        <f t="shared" si="7"/>
        <v>0</v>
      </c>
      <c r="AK25" s="44">
        <f t="shared" si="7"/>
        <v>0</v>
      </c>
      <c r="AL25" s="44">
        <f t="shared" si="7"/>
        <v>0</v>
      </c>
    </row>
    <row r="26" spans="1:38" x14ac:dyDescent="0.25">
      <c r="A26" s="282">
        <f t="shared" si="3"/>
        <v>0</v>
      </c>
      <c r="B26" s="39">
        <f>+DESP_JANEIRO!B25</f>
        <v>0</v>
      </c>
      <c r="C26" s="39">
        <f>+DESP_JANEIRO!C25</f>
        <v>0</v>
      </c>
      <c r="D26" s="40">
        <f ca="1">+DESP_JANEIRO!F25</f>
        <v>0</v>
      </c>
      <c r="E26" s="41">
        <f t="shared" si="4"/>
        <v>0</v>
      </c>
      <c r="F26" s="42" t="str">
        <f t="shared" si="5"/>
        <v>-</v>
      </c>
      <c r="G26" s="43"/>
      <c r="H26" s="44">
        <f t="shared" si="6"/>
        <v>0</v>
      </c>
      <c r="I26" s="44">
        <f t="shared" si="8"/>
        <v>0</v>
      </c>
      <c r="J26" s="44">
        <f t="shared" si="8"/>
        <v>0</v>
      </c>
      <c r="K26" s="44">
        <f t="shared" si="8"/>
        <v>0</v>
      </c>
      <c r="L26" s="44">
        <f t="shared" si="8"/>
        <v>0</v>
      </c>
      <c r="M26" s="44">
        <f t="shared" si="8"/>
        <v>0</v>
      </c>
      <c r="N26" s="44">
        <f t="shared" si="8"/>
        <v>0</v>
      </c>
      <c r="O26" s="44">
        <f t="shared" si="8"/>
        <v>0</v>
      </c>
      <c r="P26" s="44">
        <f t="shared" si="8"/>
        <v>0</v>
      </c>
      <c r="Q26" s="44">
        <f t="shared" si="8"/>
        <v>0</v>
      </c>
      <c r="R26" s="44">
        <f t="shared" si="8"/>
        <v>0</v>
      </c>
      <c r="S26" s="44">
        <f t="shared" si="8"/>
        <v>0</v>
      </c>
      <c r="T26" s="44">
        <f t="shared" si="8"/>
        <v>0</v>
      </c>
      <c r="U26" s="44">
        <f t="shared" si="8"/>
        <v>0</v>
      </c>
      <c r="V26" s="44">
        <f t="shared" si="8"/>
        <v>0</v>
      </c>
      <c r="W26" s="44">
        <f t="shared" si="8"/>
        <v>0</v>
      </c>
      <c r="X26" s="44">
        <f t="shared" si="7"/>
        <v>0</v>
      </c>
      <c r="Y26" s="44">
        <f t="shared" si="7"/>
        <v>0</v>
      </c>
      <c r="Z26" s="44">
        <f t="shared" si="7"/>
        <v>0</v>
      </c>
      <c r="AA26" s="44">
        <f t="shared" si="7"/>
        <v>0</v>
      </c>
      <c r="AB26" s="44">
        <f t="shared" si="7"/>
        <v>0</v>
      </c>
      <c r="AC26" s="44">
        <f t="shared" si="7"/>
        <v>0</v>
      </c>
      <c r="AD26" s="44">
        <f t="shared" si="7"/>
        <v>0</v>
      </c>
      <c r="AE26" s="44">
        <f t="shared" si="7"/>
        <v>0</v>
      </c>
      <c r="AF26" s="44">
        <f t="shared" si="7"/>
        <v>0</v>
      </c>
      <c r="AG26" s="44">
        <f t="shared" si="7"/>
        <v>0</v>
      </c>
      <c r="AH26" s="44">
        <f t="shared" si="7"/>
        <v>0</v>
      </c>
      <c r="AI26" s="44">
        <f t="shared" si="7"/>
        <v>0</v>
      </c>
      <c r="AJ26" s="44">
        <f t="shared" si="7"/>
        <v>0</v>
      </c>
      <c r="AK26" s="44">
        <f t="shared" si="7"/>
        <v>0</v>
      </c>
      <c r="AL26" s="44">
        <f t="shared" si="7"/>
        <v>0</v>
      </c>
    </row>
    <row r="27" spans="1:38" x14ac:dyDescent="0.25">
      <c r="A27" s="45" t="s">
        <v>11</v>
      </c>
      <c r="B27" s="46">
        <f>+SUM(B6:B26)</f>
        <v>17706.700000000008</v>
      </c>
      <c r="C27" s="46"/>
      <c r="D27" s="47">
        <f ca="1">+SUM(D6:D26)</f>
        <v>6499.1999999999989</v>
      </c>
      <c r="E27" s="46">
        <f>+SUM(E6:E26)</f>
        <v>16936.630000000008</v>
      </c>
      <c r="F27" s="48">
        <f t="shared" si="5"/>
        <v>0.95650968277544657</v>
      </c>
      <c r="G27" s="21"/>
      <c r="H27" s="46">
        <f>+SUM(H6:H26)</f>
        <v>0</v>
      </c>
      <c r="I27" s="46">
        <f t="shared" ref="I27:AL27" si="9">+SUM(I6:I26)</f>
        <v>6650</v>
      </c>
      <c r="J27" s="46">
        <f t="shared" si="9"/>
        <v>65.900000000000006</v>
      </c>
      <c r="K27" s="46">
        <f t="shared" si="9"/>
        <v>22.99</v>
      </c>
      <c r="L27" s="46">
        <f t="shared" si="9"/>
        <v>5.9</v>
      </c>
      <c r="M27" s="46">
        <f t="shared" si="9"/>
        <v>0</v>
      </c>
      <c r="N27" s="46">
        <f t="shared" si="9"/>
        <v>6404.41</v>
      </c>
      <c r="O27" s="46">
        <f t="shared" si="9"/>
        <v>0</v>
      </c>
      <c r="P27" s="46">
        <f t="shared" si="9"/>
        <v>0</v>
      </c>
      <c r="Q27" s="46">
        <f t="shared" si="9"/>
        <v>0</v>
      </c>
      <c r="R27" s="46">
        <f t="shared" si="9"/>
        <v>0</v>
      </c>
      <c r="S27" s="46">
        <f t="shared" si="9"/>
        <v>0</v>
      </c>
      <c r="T27" s="46">
        <f t="shared" si="9"/>
        <v>0</v>
      </c>
      <c r="U27" s="46">
        <f t="shared" si="9"/>
        <v>0</v>
      </c>
      <c r="V27" s="46">
        <f t="shared" si="9"/>
        <v>0</v>
      </c>
      <c r="W27" s="46">
        <f t="shared" si="9"/>
        <v>0</v>
      </c>
      <c r="X27" s="46">
        <f t="shared" si="9"/>
        <v>0</v>
      </c>
      <c r="Y27" s="46">
        <f t="shared" si="9"/>
        <v>0</v>
      </c>
      <c r="Z27" s="46">
        <f t="shared" si="9"/>
        <v>0</v>
      </c>
      <c r="AA27" s="46">
        <f t="shared" si="9"/>
        <v>0</v>
      </c>
      <c r="AB27" s="46">
        <f t="shared" si="9"/>
        <v>0</v>
      </c>
      <c r="AC27" s="46">
        <f t="shared" si="9"/>
        <v>96.99</v>
      </c>
      <c r="AD27" s="46">
        <f t="shared" si="9"/>
        <v>0</v>
      </c>
      <c r="AE27" s="46">
        <f t="shared" si="9"/>
        <v>0</v>
      </c>
      <c r="AF27" s="46">
        <f t="shared" si="9"/>
        <v>1445.5900000000001</v>
      </c>
      <c r="AG27" s="46">
        <f t="shared" si="9"/>
        <v>0</v>
      </c>
      <c r="AH27" s="46">
        <f t="shared" si="9"/>
        <v>0</v>
      </c>
      <c r="AI27" s="46">
        <f t="shared" si="9"/>
        <v>2244.85</v>
      </c>
      <c r="AJ27" s="46">
        <f t="shared" si="9"/>
        <v>0</v>
      </c>
      <c r="AK27" s="46">
        <f t="shared" si="9"/>
        <v>0</v>
      </c>
      <c r="AL27" s="46">
        <f t="shared" si="9"/>
        <v>0</v>
      </c>
    </row>
    <row r="28" spans="1:38" x14ac:dyDescent="0.25">
      <c r="A28" s="63"/>
      <c r="B28" s="49"/>
      <c r="C28" s="50"/>
      <c r="D28" s="51"/>
      <c r="E28" s="52"/>
      <c r="F28" s="52"/>
      <c r="G28" s="35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</row>
    <row r="29" spans="1:38" x14ac:dyDescent="0.25">
      <c r="A29" s="282">
        <f t="shared" ref="A29:A44" si="10">+SUM(H29:AL29)-B29</f>
        <v>0</v>
      </c>
      <c r="B29" s="39">
        <f>+DESP_JANEIRO!B28</f>
        <v>2945.42</v>
      </c>
      <c r="C29" s="39">
        <f>+DESP_JANEIRO!C28</f>
        <v>11</v>
      </c>
      <c r="D29" s="40">
        <f ca="1">+DESP_JANEIRO!F28</f>
        <v>2945.42</v>
      </c>
      <c r="E29" s="41">
        <f t="shared" ref="E29:E44" si="11">+SUM(H29:AL29)</f>
        <v>2945.42</v>
      </c>
      <c r="F29" s="42">
        <f t="shared" ref="F29:F45" si="12">+IF(B29=0,"-",E29/B29)</f>
        <v>1</v>
      </c>
      <c r="G29" s="43"/>
      <c r="H29" s="44">
        <f t="shared" ref="H29:H44" si="13">+IF(H$3&gt;$D$2,0,IF(OR(C29=-1,C29=H$3),$B29,0))</f>
        <v>0</v>
      </c>
      <c r="I29" s="44">
        <f t="shared" ref="I29:W44" si="14">+IF(I$3&gt;$D$2,0,IF($C29=I$3,$B29,0))</f>
        <v>0</v>
      </c>
      <c r="J29" s="44">
        <f t="shared" si="14"/>
        <v>0</v>
      </c>
      <c r="K29" s="44">
        <f t="shared" si="14"/>
        <v>0</v>
      </c>
      <c r="L29" s="44">
        <f t="shared" si="14"/>
        <v>0</v>
      </c>
      <c r="M29" s="44">
        <f t="shared" si="14"/>
        <v>0</v>
      </c>
      <c r="N29" s="44">
        <f t="shared" si="14"/>
        <v>0</v>
      </c>
      <c r="O29" s="44">
        <f t="shared" si="14"/>
        <v>0</v>
      </c>
      <c r="P29" s="44">
        <f t="shared" si="14"/>
        <v>0</v>
      </c>
      <c r="Q29" s="44">
        <f t="shared" si="14"/>
        <v>0</v>
      </c>
      <c r="R29" s="44">
        <f t="shared" si="14"/>
        <v>2945.42</v>
      </c>
      <c r="S29" s="44">
        <f t="shared" si="14"/>
        <v>0</v>
      </c>
      <c r="T29" s="44">
        <f t="shared" si="14"/>
        <v>0</v>
      </c>
      <c r="U29" s="44">
        <f t="shared" si="14"/>
        <v>0</v>
      </c>
      <c r="V29" s="44">
        <f t="shared" si="14"/>
        <v>0</v>
      </c>
      <c r="W29" s="44">
        <f t="shared" si="14"/>
        <v>0</v>
      </c>
      <c r="X29" s="44">
        <f t="shared" ref="X29:AL44" si="15">+IF(X$3&gt;$D$2,0,IF($C29=X$3,$B29,0))</f>
        <v>0</v>
      </c>
      <c r="Y29" s="44">
        <f t="shared" si="15"/>
        <v>0</v>
      </c>
      <c r="Z29" s="44">
        <f t="shared" si="15"/>
        <v>0</v>
      </c>
      <c r="AA29" s="44">
        <f t="shared" si="15"/>
        <v>0</v>
      </c>
      <c r="AB29" s="44">
        <f t="shared" si="15"/>
        <v>0</v>
      </c>
      <c r="AC29" s="44">
        <f t="shared" si="15"/>
        <v>0</v>
      </c>
      <c r="AD29" s="44">
        <f t="shared" si="15"/>
        <v>0</v>
      </c>
      <c r="AE29" s="44">
        <f t="shared" si="15"/>
        <v>0</v>
      </c>
      <c r="AF29" s="44">
        <f t="shared" si="15"/>
        <v>0</v>
      </c>
      <c r="AG29" s="44">
        <f t="shared" si="15"/>
        <v>0</v>
      </c>
      <c r="AH29" s="44">
        <f t="shared" si="15"/>
        <v>0</v>
      </c>
      <c r="AI29" s="44">
        <f t="shared" si="15"/>
        <v>0</v>
      </c>
      <c r="AJ29" s="44">
        <f t="shared" si="15"/>
        <v>0</v>
      </c>
      <c r="AK29" s="44">
        <f t="shared" si="15"/>
        <v>0</v>
      </c>
      <c r="AL29" s="44">
        <f t="shared" si="15"/>
        <v>0</v>
      </c>
    </row>
    <row r="30" spans="1:38" x14ac:dyDescent="0.25">
      <c r="A30" s="282">
        <f t="shared" si="10"/>
        <v>0</v>
      </c>
      <c r="B30" s="39">
        <f>+DESP_JANEIRO!B29</f>
        <v>2775</v>
      </c>
      <c r="C30" s="39">
        <f>+DESP_JANEIRO!C29</f>
        <v>26</v>
      </c>
      <c r="D30" s="40">
        <f ca="1">+DESP_JANEIRO!F29</f>
        <v>0</v>
      </c>
      <c r="E30" s="41">
        <f t="shared" si="11"/>
        <v>2775</v>
      </c>
      <c r="F30" s="42">
        <f t="shared" si="12"/>
        <v>1</v>
      </c>
      <c r="G30" s="43"/>
      <c r="H30" s="44">
        <f t="shared" si="13"/>
        <v>0</v>
      </c>
      <c r="I30" s="44">
        <f t="shared" si="14"/>
        <v>0</v>
      </c>
      <c r="J30" s="44">
        <f t="shared" si="14"/>
        <v>0</v>
      </c>
      <c r="K30" s="44">
        <f t="shared" si="14"/>
        <v>0</v>
      </c>
      <c r="L30" s="44">
        <f t="shared" si="14"/>
        <v>0</v>
      </c>
      <c r="M30" s="44">
        <f t="shared" si="14"/>
        <v>0</v>
      </c>
      <c r="N30" s="44">
        <f t="shared" si="14"/>
        <v>0</v>
      </c>
      <c r="O30" s="44">
        <f t="shared" si="14"/>
        <v>0</v>
      </c>
      <c r="P30" s="44">
        <f t="shared" si="14"/>
        <v>0</v>
      </c>
      <c r="Q30" s="44">
        <f t="shared" si="14"/>
        <v>0</v>
      </c>
      <c r="R30" s="44">
        <f t="shared" si="14"/>
        <v>0</v>
      </c>
      <c r="S30" s="44">
        <f t="shared" si="14"/>
        <v>0</v>
      </c>
      <c r="T30" s="44">
        <f t="shared" si="14"/>
        <v>0</v>
      </c>
      <c r="U30" s="44">
        <f t="shared" si="14"/>
        <v>0</v>
      </c>
      <c r="V30" s="44">
        <f t="shared" si="14"/>
        <v>0</v>
      </c>
      <c r="W30" s="44">
        <f t="shared" si="14"/>
        <v>0</v>
      </c>
      <c r="X30" s="44">
        <f t="shared" si="15"/>
        <v>0</v>
      </c>
      <c r="Y30" s="44">
        <f t="shared" si="15"/>
        <v>0</v>
      </c>
      <c r="Z30" s="44">
        <f t="shared" si="15"/>
        <v>0</v>
      </c>
      <c r="AA30" s="44">
        <f t="shared" si="15"/>
        <v>0</v>
      </c>
      <c r="AB30" s="44">
        <f t="shared" si="15"/>
        <v>0</v>
      </c>
      <c r="AC30" s="44">
        <f t="shared" si="15"/>
        <v>0</v>
      </c>
      <c r="AD30" s="44">
        <f t="shared" si="15"/>
        <v>0</v>
      </c>
      <c r="AE30" s="44">
        <f t="shared" si="15"/>
        <v>0</v>
      </c>
      <c r="AF30" s="44">
        <f t="shared" si="15"/>
        <v>0</v>
      </c>
      <c r="AG30" s="44">
        <f t="shared" si="15"/>
        <v>2775</v>
      </c>
      <c r="AH30" s="44">
        <f t="shared" si="15"/>
        <v>0</v>
      </c>
      <c r="AI30" s="44">
        <f t="shared" si="15"/>
        <v>0</v>
      </c>
      <c r="AJ30" s="44">
        <f t="shared" si="15"/>
        <v>0</v>
      </c>
      <c r="AK30" s="44">
        <f t="shared" si="15"/>
        <v>0</v>
      </c>
      <c r="AL30" s="44">
        <f t="shared" si="15"/>
        <v>0</v>
      </c>
    </row>
    <row r="31" spans="1:38" x14ac:dyDescent="0.25">
      <c r="A31" s="282">
        <f t="shared" si="10"/>
        <v>0</v>
      </c>
      <c r="B31" s="39">
        <f>+DESP_JANEIRO!B30</f>
        <v>940</v>
      </c>
      <c r="C31" s="39">
        <f>+DESP_JANEIRO!C30</f>
        <v>15</v>
      </c>
      <c r="D31" s="40">
        <f ca="1">+DESP_JANEIRO!F30</f>
        <v>0</v>
      </c>
      <c r="E31" s="41">
        <f t="shared" si="11"/>
        <v>940</v>
      </c>
      <c r="F31" s="42">
        <f t="shared" si="12"/>
        <v>1</v>
      </c>
      <c r="G31" s="43"/>
      <c r="H31" s="44">
        <f t="shared" si="13"/>
        <v>0</v>
      </c>
      <c r="I31" s="44">
        <f t="shared" si="14"/>
        <v>0</v>
      </c>
      <c r="J31" s="44">
        <f t="shared" si="14"/>
        <v>0</v>
      </c>
      <c r="K31" s="44">
        <f t="shared" si="14"/>
        <v>0</v>
      </c>
      <c r="L31" s="44">
        <f t="shared" si="14"/>
        <v>0</v>
      </c>
      <c r="M31" s="44">
        <f t="shared" si="14"/>
        <v>0</v>
      </c>
      <c r="N31" s="44">
        <f t="shared" si="14"/>
        <v>0</v>
      </c>
      <c r="O31" s="44">
        <f t="shared" si="14"/>
        <v>0</v>
      </c>
      <c r="P31" s="44">
        <f t="shared" si="14"/>
        <v>0</v>
      </c>
      <c r="Q31" s="44">
        <f t="shared" si="14"/>
        <v>0</v>
      </c>
      <c r="R31" s="44">
        <f t="shared" si="14"/>
        <v>0</v>
      </c>
      <c r="S31" s="44">
        <f t="shared" si="14"/>
        <v>0</v>
      </c>
      <c r="T31" s="44">
        <f t="shared" si="14"/>
        <v>0</v>
      </c>
      <c r="U31" s="44">
        <f t="shared" si="14"/>
        <v>0</v>
      </c>
      <c r="V31" s="44">
        <f t="shared" si="14"/>
        <v>940</v>
      </c>
      <c r="W31" s="44">
        <f t="shared" si="14"/>
        <v>0</v>
      </c>
      <c r="X31" s="44">
        <f t="shared" si="15"/>
        <v>0</v>
      </c>
      <c r="Y31" s="44">
        <f t="shared" si="15"/>
        <v>0</v>
      </c>
      <c r="Z31" s="44">
        <f t="shared" si="15"/>
        <v>0</v>
      </c>
      <c r="AA31" s="44">
        <f t="shared" si="15"/>
        <v>0</v>
      </c>
      <c r="AB31" s="44">
        <f t="shared" si="15"/>
        <v>0</v>
      </c>
      <c r="AC31" s="44">
        <f t="shared" si="15"/>
        <v>0</v>
      </c>
      <c r="AD31" s="44">
        <f t="shared" si="15"/>
        <v>0</v>
      </c>
      <c r="AE31" s="44">
        <f t="shared" si="15"/>
        <v>0</v>
      </c>
      <c r="AF31" s="44">
        <f t="shared" si="15"/>
        <v>0</v>
      </c>
      <c r="AG31" s="44">
        <f t="shared" si="15"/>
        <v>0</v>
      </c>
      <c r="AH31" s="44">
        <f t="shared" si="15"/>
        <v>0</v>
      </c>
      <c r="AI31" s="44">
        <f t="shared" si="15"/>
        <v>0</v>
      </c>
      <c r="AJ31" s="44">
        <f t="shared" si="15"/>
        <v>0</v>
      </c>
      <c r="AK31" s="44">
        <f t="shared" si="15"/>
        <v>0</v>
      </c>
      <c r="AL31" s="44">
        <f t="shared" si="15"/>
        <v>0</v>
      </c>
    </row>
    <row r="32" spans="1:38" x14ac:dyDescent="0.25">
      <c r="A32" s="282">
        <f t="shared" si="10"/>
        <v>0</v>
      </c>
      <c r="B32" s="39">
        <f>+DESP_JANEIRO!B31</f>
        <v>940</v>
      </c>
      <c r="C32" s="39">
        <f>+DESP_JANEIRO!C31</f>
        <v>30</v>
      </c>
      <c r="D32" s="40">
        <f ca="1">+DESP_JANEIRO!F31</f>
        <v>0</v>
      </c>
      <c r="E32" s="41">
        <f t="shared" si="11"/>
        <v>940</v>
      </c>
      <c r="F32" s="42">
        <f t="shared" si="12"/>
        <v>1</v>
      </c>
      <c r="G32" s="43"/>
      <c r="H32" s="44">
        <f t="shared" si="13"/>
        <v>0</v>
      </c>
      <c r="I32" s="44">
        <f t="shared" si="14"/>
        <v>0</v>
      </c>
      <c r="J32" s="44">
        <f t="shared" si="14"/>
        <v>0</v>
      </c>
      <c r="K32" s="44">
        <f t="shared" si="14"/>
        <v>0</v>
      </c>
      <c r="L32" s="44">
        <f t="shared" si="14"/>
        <v>0</v>
      </c>
      <c r="M32" s="44">
        <f t="shared" si="14"/>
        <v>0</v>
      </c>
      <c r="N32" s="44">
        <f t="shared" si="14"/>
        <v>0</v>
      </c>
      <c r="O32" s="44">
        <f t="shared" si="14"/>
        <v>0</v>
      </c>
      <c r="P32" s="44">
        <f t="shared" si="14"/>
        <v>0</v>
      </c>
      <c r="Q32" s="44">
        <f t="shared" si="14"/>
        <v>0</v>
      </c>
      <c r="R32" s="44">
        <f t="shared" si="14"/>
        <v>0</v>
      </c>
      <c r="S32" s="44">
        <f t="shared" si="14"/>
        <v>0</v>
      </c>
      <c r="T32" s="44">
        <f t="shared" si="14"/>
        <v>0</v>
      </c>
      <c r="U32" s="44">
        <f t="shared" si="14"/>
        <v>0</v>
      </c>
      <c r="V32" s="44">
        <f t="shared" si="14"/>
        <v>0</v>
      </c>
      <c r="W32" s="44">
        <f t="shared" si="14"/>
        <v>0</v>
      </c>
      <c r="X32" s="44">
        <f t="shared" si="15"/>
        <v>0</v>
      </c>
      <c r="Y32" s="44">
        <f t="shared" si="15"/>
        <v>0</v>
      </c>
      <c r="Z32" s="44">
        <f t="shared" si="15"/>
        <v>0</v>
      </c>
      <c r="AA32" s="44">
        <f t="shared" si="15"/>
        <v>0</v>
      </c>
      <c r="AB32" s="44">
        <f t="shared" si="15"/>
        <v>0</v>
      </c>
      <c r="AC32" s="44">
        <f t="shared" si="15"/>
        <v>0</v>
      </c>
      <c r="AD32" s="44">
        <f t="shared" si="15"/>
        <v>0</v>
      </c>
      <c r="AE32" s="44">
        <f t="shared" si="15"/>
        <v>0</v>
      </c>
      <c r="AF32" s="44">
        <f t="shared" si="15"/>
        <v>0</v>
      </c>
      <c r="AG32" s="44">
        <f t="shared" si="15"/>
        <v>0</v>
      </c>
      <c r="AH32" s="44">
        <f t="shared" si="15"/>
        <v>0</v>
      </c>
      <c r="AI32" s="44">
        <f t="shared" si="15"/>
        <v>0</v>
      </c>
      <c r="AJ32" s="44">
        <f t="shared" si="15"/>
        <v>0</v>
      </c>
      <c r="AK32" s="44">
        <f t="shared" si="15"/>
        <v>940</v>
      </c>
      <c r="AL32" s="44">
        <f t="shared" si="15"/>
        <v>0</v>
      </c>
    </row>
    <row r="33" spans="1:38" x14ac:dyDescent="0.25">
      <c r="A33" s="282">
        <f t="shared" si="10"/>
        <v>0</v>
      </c>
      <c r="B33" s="39">
        <f>+DESP_JANEIRO!B32</f>
        <v>1080</v>
      </c>
      <c r="C33" s="39">
        <f>+DESP_JANEIRO!C32</f>
        <v>6</v>
      </c>
      <c r="D33" s="40">
        <f ca="1">+DESP_JANEIRO!F32</f>
        <v>1080</v>
      </c>
      <c r="E33" s="41">
        <f t="shared" si="11"/>
        <v>1080</v>
      </c>
      <c r="F33" s="42">
        <f t="shared" si="12"/>
        <v>1</v>
      </c>
      <c r="G33" s="43"/>
      <c r="H33" s="44">
        <f t="shared" si="13"/>
        <v>0</v>
      </c>
      <c r="I33" s="44">
        <f t="shared" si="14"/>
        <v>0</v>
      </c>
      <c r="J33" s="44">
        <f t="shared" si="14"/>
        <v>0</v>
      </c>
      <c r="K33" s="44">
        <f t="shared" si="14"/>
        <v>0</v>
      </c>
      <c r="L33" s="44">
        <f t="shared" si="14"/>
        <v>0</v>
      </c>
      <c r="M33" s="44">
        <f t="shared" si="14"/>
        <v>1080</v>
      </c>
      <c r="N33" s="44">
        <f t="shared" si="14"/>
        <v>0</v>
      </c>
      <c r="O33" s="44">
        <f t="shared" si="14"/>
        <v>0</v>
      </c>
      <c r="P33" s="44">
        <f t="shared" si="14"/>
        <v>0</v>
      </c>
      <c r="Q33" s="44">
        <f t="shared" si="14"/>
        <v>0</v>
      </c>
      <c r="R33" s="44">
        <f t="shared" si="14"/>
        <v>0</v>
      </c>
      <c r="S33" s="44">
        <f t="shared" si="14"/>
        <v>0</v>
      </c>
      <c r="T33" s="44">
        <f t="shared" si="14"/>
        <v>0</v>
      </c>
      <c r="U33" s="44">
        <f t="shared" si="14"/>
        <v>0</v>
      </c>
      <c r="V33" s="44">
        <f t="shared" si="14"/>
        <v>0</v>
      </c>
      <c r="W33" s="44">
        <f t="shared" si="14"/>
        <v>0</v>
      </c>
      <c r="X33" s="44">
        <f t="shared" si="15"/>
        <v>0</v>
      </c>
      <c r="Y33" s="44">
        <f t="shared" si="15"/>
        <v>0</v>
      </c>
      <c r="Z33" s="44">
        <f t="shared" si="15"/>
        <v>0</v>
      </c>
      <c r="AA33" s="44">
        <f t="shared" si="15"/>
        <v>0</v>
      </c>
      <c r="AB33" s="44">
        <f t="shared" si="15"/>
        <v>0</v>
      </c>
      <c r="AC33" s="44">
        <f t="shared" si="15"/>
        <v>0</v>
      </c>
      <c r="AD33" s="44">
        <f t="shared" si="15"/>
        <v>0</v>
      </c>
      <c r="AE33" s="44">
        <f t="shared" si="15"/>
        <v>0</v>
      </c>
      <c r="AF33" s="44">
        <f t="shared" si="15"/>
        <v>0</v>
      </c>
      <c r="AG33" s="44">
        <f t="shared" si="15"/>
        <v>0</v>
      </c>
      <c r="AH33" s="44">
        <f t="shared" si="15"/>
        <v>0</v>
      </c>
      <c r="AI33" s="44">
        <f t="shared" si="15"/>
        <v>0</v>
      </c>
      <c r="AJ33" s="44">
        <f t="shared" si="15"/>
        <v>0</v>
      </c>
      <c r="AK33" s="44">
        <f t="shared" si="15"/>
        <v>0</v>
      </c>
      <c r="AL33" s="44">
        <f t="shared" si="15"/>
        <v>0</v>
      </c>
    </row>
    <row r="34" spans="1:38" x14ac:dyDescent="0.25">
      <c r="A34" s="282">
        <f t="shared" si="10"/>
        <v>0</v>
      </c>
      <c r="B34" s="39">
        <f>+DESP_JANEIRO!B33</f>
        <v>720</v>
      </c>
      <c r="C34" s="39">
        <f>+DESP_JANEIRO!C33</f>
        <v>20</v>
      </c>
      <c r="D34" s="40">
        <f ca="1">+DESP_JANEIRO!F33</f>
        <v>0</v>
      </c>
      <c r="E34" s="41">
        <f t="shared" si="11"/>
        <v>720</v>
      </c>
      <c r="F34" s="42">
        <f t="shared" si="12"/>
        <v>1</v>
      </c>
      <c r="G34" s="43"/>
      <c r="H34" s="44">
        <f t="shared" si="13"/>
        <v>0</v>
      </c>
      <c r="I34" s="44">
        <f t="shared" si="14"/>
        <v>0</v>
      </c>
      <c r="J34" s="44">
        <f t="shared" si="14"/>
        <v>0</v>
      </c>
      <c r="K34" s="44">
        <f t="shared" si="14"/>
        <v>0</v>
      </c>
      <c r="L34" s="44">
        <f t="shared" si="14"/>
        <v>0</v>
      </c>
      <c r="M34" s="44">
        <f t="shared" si="14"/>
        <v>0</v>
      </c>
      <c r="N34" s="44">
        <f t="shared" si="14"/>
        <v>0</v>
      </c>
      <c r="O34" s="44">
        <f t="shared" si="14"/>
        <v>0</v>
      </c>
      <c r="P34" s="44">
        <f t="shared" si="14"/>
        <v>0</v>
      </c>
      <c r="Q34" s="44">
        <f t="shared" si="14"/>
        <v>0</v>
      </c>
      <c r="R34" s="44">
        <f t="shared" si="14"/>
        <v>0</v>
      </c>
      <c r="S34" s="44">
        <f t="shared" si="14"/>
        <v>0</v>
      </c>
      <c r="T34" s="44">
        <f t="shared" si="14"/>
        <v>0</v>
      </c>
      <c r="U34" s="44">
        <f t="shared" si="14"/>
        <v>0</v>
      </c>
      <c r="V34" s="44">
        <f t="shared" si="14"/>
        <v>0</v>
      </c>
      <c r="W34" s="44">
        <f t="shared" si="14"/>
        <v>0</v>
      </c>
      <c r="X34" s="44">
        <f t="shared" si="15"/>
        <v>0</v>
      </c>
      <c r="Y34" s="44">
        <f t="shared" si="15"/>
        <v>0</v>
      </c>
      <c r="Z34" s="44">
        <f t="shared" si="15"/>
        <v>0</v>
      </c>
      <c r="AA34" s="44">
        <f t="shared" si="15"/>
        <v>720</v>
      </c>
      <c r="AB34" s="44">
        <f t="shared" si="15"/>
        <v>0</v>
      </c>
      <c r="AC34" s="44">
        <f t="shared" si="15"/>
        <v>0</v>
      </c>
      <c r="AD34" s="44">
        <f t="shared" si="15"/>
        <v>0</v>
      </c>
      <c r="AE34" s="44">
        <f t="shared" si="15"/>
        <v>0</v>
      </c>
      <c r="AF34" s="44">
        <f t="shared" si="15"/>
        <v>0</v>
      </c>
      <c r="AG34" s="44">
        <f t="shared" si="15"/>
        <v>0</v>
      </c>
      <c r="AH34" s="44">
        <f t="shared" si="15"/>
        <v>0</v>
      </c>
      <c r="AI34" s="44">
        <f t="shared" si="15"/>
        <v>0</v>
      </c>
      <c r="AJ34" s="44">
        <f t="shared" si="15"/>
        <v>0</v>
      </c>
      <c r="AK34" s="44">
        <f t="shared" si="15"/>
        <v>0</v>
      </c>
      <c r="AL34" s="44">
        <f t="shared" si="15"/>
        <v>0</v>
      </c>
    </row>
    <row r="35" spans="1:38" x14ac:dyDescent="0.25">
      <c r="A35" s="282">
        <f t="shared" si="10"/>
        <v>0</v>
      </c>
      <c r="B35" s="39">
        <f>+DESP_JANEIRO!B34</f>
        <v>1010</v>
      </c>
      <c r="C35" s="39">
        <f>+DESP_JANEIRO!C34</f>
        <v>17</v>
      </c>
      <c r="D35" s="40">
        <f ca="1">+DESP_JANEIRO!F34</f>
        <v>0</v>
      </c>
      <c r="E35" s="41">
        <f t="shared" si="11"/>
        <v>1010</v>
      </c>
      <c r="F35" s="42">
        <f t="shared" si="12"/>
        <v>1</v>
      </c>
      <c r="G35" s="43"/>
      <c r="H35" s="44">
        <f t="shared" si="13"/>
        <v>0</v>
      </c>
      <c r="I35" s="44">
        <f t="shared" si="14"/>
        <v>0</v>
      </c>
      <c r="J35" s="44">
        <f t="shared" si="14"/>
        <v>0</v>
      </c>
      <c r="K35" s="44">
        <f t="shared" si="14"/>
        <v>0</v>
      </c>
      <c r="L35" s="44">
        <f t="shared" si="14"/>
        <v>0</v>
      </c>
      <c r="M35" s="44">
        <f t="shared" si="14"/>
        <v>0</v>
      </c>
      <c r="N35" s="44">
        <f t="shared" si="14"/>
        <v>0</v>
      </c>
      <c r="O35" s="44">
        <f t="shared" si="14"/>
        <v>0</v>
      </c>
      <c r="P35" s="44">
        <f t="shared" si="14"/>
        <v>0</v>
      </c>
      <c r="Q35" s="44">
        <f t="shared" si="14"/>
        <v>0</v>
      </c>
      <c r="R35" s="44">
        <f t="shared" si="14"/>
        <v>0</v>
      </c>
      <c r="S35" s="44">
        <f t="shared" si="14"/>
        <v>0</v>
      </c>
      <c r="T35" s="44">
        <f t="shared" si="14"/>
        <v>0</v>
      </c>
      <c r="U35" s="44">
        <f t="shared" si="14"/>
        <v>0</v>
      </c>
      <c r="V35" s="44">
        <f t="shared" si="14"/>
        <v>0</v>
      </c>
      <c r="W35" s="44">
        <f t="shared" si="14"/>
        <v>0</v>
      </c>
      <c r="X35" s="44">
        <f t="shared" si="15"/>
        <v>1010</v>
      </c>
      <c r="Y35" s="44">
        <f t="shared" si="15"/>
        <v>0</v>
      </c>
      <c r="Z35" s="44">
        <f t="shared" si="15"/>
        <v>0</v>
      </c>
      <c r="AA35" s="44">
        <f t="shared" si="15"/>
        <v>0</v>
      </c>
      <c r="AB35" s="44">
        <f t="shared" si="15"/>
        <v>0</v>
      </c>
      <c r="AC35" s="44">
        <f t="shared" si="15"/>
        <v>0</v>
      </c>
      <c r="AD35" s="44">
        <f t="shared" si="15"/>
        <v>0</v>
      </c>
      <c r="AE35" s="44">
        <f t="shared" si="15"/>
        <v>0</v>
      </c>
      <c r="AF35" s="44">
        <f t="shared" si="15"/>
        <v>0</v>
      </c>
      <c r="AG35" s="44">
        <f t="shared" si="15"/>
        <v>0</v>
      </c>
      <c r="AH35" s="44">
        <f t="shared" si="15"/>
        <v>0</v>
      </c>
      <c r="AI35" s="44">
        <f t="shared" si="15"/>
        <v>0</v>
      </c>
      <c r="AJ35" s="44">
        <f t="shared" si="15"/>
        <v>0</v>
      </c>
      <c r="AK35" s="44">
        <f t="shared" si="15"/>
        <v>0</v>
      </c>
      <c r="AL35" s="44">
        <f t="shared" si="15"/>
        <v>0</v>
      </c>
    </row>
    <row r="36" spans="1:38" x14ac:dyDescent="0.25">
      <c r="A36" s="282">
        <f t="shared" si="10"/>
        <v>0</v>
      </c>
      <c r="B36" s="39">
        <f>+DESP_JANEIRO!B35</f>
        <v>500</v>
      </c>
      <c r="C36" s="39">
        <f>+DESP_JANEIRO!C35</f>
        <v>15</v>
      </c>
      <c r="D36" s="40">
        <f ca="1">+DESP_JANEIRO!F35</f>
        <v>0</v>
      </c>
      <c r="E36" s="41">
        <f t="shared" si="11"/>
        <v>500</v>
      </c>
      <c r="F36" s="42">
        <f t="shared" si="12"/>
        <v>1</v>
      </c>
      <c r="G36" s="43"/>
      <c r="H36" s="44">
        <f t="shared" si="13"/>
        <v>0</v>
      </c>
      <c r="I36" s="44">
        <f t="shared" si="14"/>
        <v>0</v>
      </c>
      <c r="J36" s="44">
        <f t="shared" si="14"/>
        <v>0</v>
      </c>
      <c r="K36" s="44">
        <f t="shared" si="14"/>
        <v>0</v>
      </c>
      <c r="L36" s="44">
        <f t="shared" si="14"/>
        <v>0</v>
      </c>
      <c r="M36" s="44">
        <f t="shared" si="14"/>
        <v>0</v>
      </c>
      <c r="N36" s="44">
        <f t="shared" si="14"/>
        <v>0</v>
      </c>
      <c r="O36" s="44">
        <f t="shared" si="14"/>
        <v>0</v>
      </c>
      <c r="P36" s="44">
        <f t="shared" si="14"/>
        <v>0</v>
      </c>
      <c r="Q36" s="44">
        <f t="shared" si="14"/>
        <v>0</v>
      </c>
      <c r="R36" s="44">
        <f t="shared" si="14"/>
        <v>0</v>
      </c>
      <c r="S36" s="44">
        <f t="shared" si="14"/>
        <v>0</v>
      </c>
      <c r="T36" s="44">
        <f t="shared" si="14"/>
        <v>0</v>
      </c>
      <c r="U36" s="44">
        <f t="shared" si="14"/>
        <v>0</v>
      </c>
      <c r="V36" s="44">
        <f t="shared" si="14"/>
        <v>500</v>
      </c>
      <c r="W36" s="44">
        <f t="shared" si="14"/>
        <v>0</v>
      </c>
      <c r="X36" s="44">
        <f t="shared" si="15"/>
        <v>0</v>
      </c>
      <c r="Y36" s="44">
        <f t="shared" si="15"/>
        <v>0</v>
      </c>
      <c r="Z36" s="44">
        <f t="shared" si="15"/>
        <v>0</v>
      </c>
      <c r="AA36" s="44">
        <f t="shared" si="15"/>
        <v>0</v>
      </c>
      <c r="AB36" s="44">
        <f t="shared" si="15"/>
        <v>0</v>
      </c>
      <c r="AC36" s="44">
        <f t="shared" si="15"/>
        <v>0</v>
      </c>
      <c r="AD36" s="44">
        <f t="shared" si="15"/>
        <v>0</v>
      </c>
      <c r="AE36" s="44">
        <f t="shared" si="15"/>
        <v>0</v>
      </c>
      <c r="AF36" s="44">
        <f t="shared" si="15"/>
        <v>0</v>
      </c>
      <c r="AG36" s="44">
        <f t="shared" si="15"/>
        <v>0</v>
      </c>
      <c r="AH36" s="44">
        <f t="shared" si="15"/>
        <v>0</v>
      </c>
      <c r="AI36" s="44">
        <f t="shared" si="15"/>
        <v>0</v>
      </c>
      <c r="AJ36" s="44">
        <f t="shared" si="15"/>
        <v>0</v>
      </c>
      <c r="AK36" s="44">
        <f t="shared" si="15"/>
        <v>0</v>
      </c>
      <c r="AL36" s="44">
        <f t="shared" si="15"/>
        <v>0</v>
      </c>
    </row>
    <row r="37" spans="1:38" x14ac:dyDescent="0.25">
      <c r="A37" s="282">
        <f t="shared" si="10"/>
        <v>0</v>
      </c>
      <c r="B37" s="39">
        <f>+DESP_JANEIRO!B36</f>
        <v>569</v>
      </c>
      <c r="C37" s="39">
        <f>+DESP_JANEIRO!C36</f>
        <v>15</v>
      </c>
      <c r="D37" s="40">
        <f ca="1">+DESP_JANEIRO!F36</f>
        <v>0</v>
      </c>
      <c r="E37" s="41">
        <f t="shared" si="11"/>
        <v>569</v>
      </c>
      <c r="F37" s="42">
        <f t="shared" si="12"/>
        <v>1</v>
      </c>
      <c r="G37" s="43"/>
      <c r="H37" s="44">
        <f t="shared" si="13"/>
        <v>0</v>
      </c>
      <c r="I37" s="44">
        <f t="shared" si="14"/>
        <v>0</v>
      </c>
      <c r="J37" s="44">
        <f t="shared" si="14"/>
        <v>0</v>
      </c>
      <c r="K37" s="44">
        <f t="shared" si="14"/>
        <v>0</v>
      </c>
      <c r="L37" s="44">
        <f t="shared" si="14"/>
        <v>0</v>
      </c>
      <c r="M37" s="44">
        <f t="shared" si="14"/>
        <v>0</v>
      </c>
      <c r="N37" s="44">
        <f t="shared" si="14"/>
        <v>0</v>
      </c>
      <c r="O37" s="44">
        <f t="shared" si="14"/>
        <v>0</v>
      </c>
      <c r="P37" s="44">
        <f t="shared" si="14"/>
        <v>0</v>
      </c>
      <c r="Q37" s="44">
        <f t="shared" si="14"/>
        <v>0</v>
      </c>
      <c r="R37" s="44">
        <f t="shared" si="14"/>
        <v>0</v>
      </c>
      <c r="S37" s="44">
        <f t="shared" si="14"/>
        <v>0</v>
      </c>
      <c r="T37" s="44">
        <f t="shared" si="14"/>
        <v>0</v>
      </c>
      <c r="U37" s="44">
        <f t="shared" si="14"/>
        <v>0</v>
      </c>
      <c r="V37" s="44">
        <f t="shared" si="14"/>
        <v>569</v>
      </c>
      <c r="W37" s="44">
        <f t="shared" si="14"/>
        <v>0</v>
      </c>
      <c r="X37" s="44">
        <f t="shared" si="15"/>
        <v>0</v>
      </c>
      <c r="Y37" s="44">
        <f t="shared" si="15"/>
        <v>0</v>
      </c>
      <c r="Z37" s="44">
        <f t="shared" si="15"/>
        <v>0</v>
      </c>
      <c r="AA37" s="44">
        <f t="shared" si="15"/>
        <v>0</v>
      </c>
      <c r="AB37" s="44">
        <f t="shared" si="15"/>
        <v>0</v>
      </c>
      <c r="AC37" s="44">
        <f t="shared" si="15"/>
        <v>0</v>
      </c>
      <c r="AD37" s="44">
        <f t="shared" si="15"/>
        <v>0</v>
      </c>
      <c r="AE37" s="44">
        <f t="shared" si="15"/>
        <v>0</v>
      </c>
      <c r="AF37" s="44">
        <f t="shared" si="15"/>
        <v>0</v>
      </c>
      <c r="AG37" s="44">
        <f t="shared" si="15"/>
        <v>0</v>
      </c>
      <c r="AH37" s="44">
        <f t="shared" si="15"/>
        <v>0</v>
      </c>
      <c r="AI37" s="44">
        <f t="shared" si="15"/>
        <v>0</v>
      </c>
      <c r="AJ37" s="44">
        <f t="shared" si="15"/>
        <v>0</v>
      </c>
      <c r="AK37" s="44">
        <f t="shared" si="15"/>
        <v>0</v>
      </c>
      <c r="AL37" s="44">
        <f t="shared" si="15"/>
        <v>0</v>
      </c>
    </row>
    <row r="38" spans="1:38" x14ac:dyDescent="0.25">
      <c r="A38" s="282">
        <f t="shared" si="10"/>
        <v>0</v>
      </c>
      <c r="B38" s="39">
        <f>+DESP_JANEIRO!B37</f>
        <v>1000</v>
      </c>
      <c r="C38" s="39">
        <f>+DESP_JANEIRO!C37</f>
        <v>2</v>
      </c>
      <c r="D38" s="40">
        <f ca="1">+DESP_JANEIRO!F37</f>
        <v>1000</v>
      </c>
      <c r="E38" s="41">
        <f t="shared" si="11"/>
        <v>1000</v>
      </c>
      <c r="F38" s="42">
        <f t="shared" si="12"/>
        <v>1</v>
      </c>
      <c r="G38" s="43"/>
      <c r="H38" s="44">
        <f t="shared" si="13"/>
        <v>0</v>
      </c>
      <c r="I38" s="44">
        <f t="shared" si="14"/>
        <v>1000</v>
      </c>
      <c r="J38" s="44">
        <f t="shared" si="14"/>
        <v>0</v>
      </c>
      <c r="K38" s="44">
        <f t="shared" si="14"/>
        <v>0</v>
      </c>
      <c r="L38" s="44">
        <f t="shared" si="14"/>
        <v>0</v>
      </c>
      <c r="M38" s="44">
        <f t="shared" si="14"/>
        <v>0</v>
      </c>
      <c r="N38" s="44">
        <f t="shared" si="14"/>
        <v>0</v>
      </c>
      <c r="O38" s="44">
        <f t="shared" si="14"/>
        <v>0</v>
      </c>
      <c r="P38" s="44">
        <f t="shared" si="14"/>
        <v>0</v>
      </c>
      <c r="Q38" s="44">
        <f t="shared" si="14"/>
        <v>0</v>
      </c>
      <c r="R38" s="44">
        <f t="shared" si="14"/>
        <v>0</v>
      </c>
      <c r="S38" s="44">
        <f t="shared" si="14"/>
        <v>0</v>
      </c>
      <c r="T38" s="44">
        <f t="shared" si="14"/>
        <v>0</v>
      </c>
      <c r="U38" s="44">
        <f t="shared" si="14"/>
        <v>0</v>
      </c>
      <c r="V38" s="44">
        <f t="shared" si="14"/>
        <v>0</v>
      </c>
      <c r="W38" s="44">
        <f t="shared" si="14"/>
        <v>0</v>
      </c>
      <c r="X38" s="44">
        <f t="shared" si="15"/>
        <v>0</v>
      </c>
      <c r="Y38" s="44">
        <f t="shared" si="15"/>
        <v>0</v>
      </c>
      <c r="Z38" s="44">
        <f t="shared" si="15"/>
        <v>0</v>
      </c>
      <c r="AA38" s="44">
        <f t="shared" si="15"/>
        <v>0</v>
      </c>
      <c r="AB38" s="44">
        <f t="shared" si="15"/>
        <v>0</v>
      </c>
      <c r="AC38" s="44">
        <f t="shared" si="15"/>
        <v>0</v>
      </c>
      <c r="AD38" s="44">
        <f t="shared" si="15"/>
        <v>0</v>
      </c>
      <c r="AE38" s="44">
        <f t="shared" si="15"/>
        <v>0</v>
      </c>
      <c r="AF38" s="44">
        <f t="shared" si="15"/>
        <v>0</v>
      </c>
      <c r="AG38" s="44">
        <f t="shared" si="15"/>
        <v>0</v>
      </c>
      <c r="AH38" s="44">
        <f t="shared" si="15"/>
        <v>0</v>
      </c>
      <c r="AI38" s="44">
        <f t="shared" si="15"/>
        <v>0</v>
      </c>
      <c r="AJ38" s="44">
        <f t="shared" si="15"/>
        <v>0</v>
      </c>
      <c r="AK38" s="44">
        <f t="shared" si="15"/>
        <v>0</v>
      </c>
      <c r="AL38" s="44">
        <f t="shared" si="15"/>
        <v>0</v>
      </c>
    </row>
    <row r="39" spans="1:38" x14ac:dyDescent="0.25">
      <c r="A39" s="282">
        <f t="shared" si="10"/>
        <v>0</v>
      </c>
      <c r="B39" s="39">
        <f>+DESP_JANEIRO!B38</f>
        <v>1890</v>
      </c>
      <c r="C39" s="39">
        <f>+DESP_JANEIRO!C38</f>
        <v>3</v>
      </c>
      <c r="D39" s="40">
        <f ca="1">+DESP_JANEIRO!F38</f>
        <v>1890</v>
      </c>
      <c r="E39" s="41">
        <f t="shared" ref="E39:E42" si="16">+SUM(H39:AL39)</f>
        <v>1890</v>
      </c>
      <c r="F39" s="42">
        <f t="shared" si="12"/>
        <v>1</v>
      </c>
      <c r="G39" s="43"/>
      <c r="H39" s="44">
        <f t="shared" si="13"/>
        <v>0</v>
      </c>
      <c r="I39" s="44">
        <f t="shared" si="14"/>
        <v>0</v>
      </c>
      <c r="J39" s="44">
        <f t="shared" si="14"/>
        <v>1890</v>
      </c>
      <c r="K39" s="44">
        <f t="shared" si="14"/>
        <v>0</v>
      </c>
      <c r="L39" s="44">
        <f t="shared" si="14"/>
        <v>0</v>
      </c>
      <c r="M39" s="44">
        <f t="shared" si="14"/>
        <v>0</v>
      </c>
      <c r="N39" s="44">
        <f t="shared" si="14"/>
        <v>0</v>
      </c>
      <c r="O39" s="44">
        <f t="shared" si="14"/>
        <v>0</v>
      </c>
      <c r="P39" s="44">
        <f t="shared" si="14"/>
        <v>0</v>
      </c>
      <c r="Q39" s="44">
        <f t="shared" si="14"/>
        <v>0</v>
      </c>
      <c r="R39" s="44">
        <f t="shared" si="14"/>
        <v>0</v>
      </c>
      <c r="S39" s="44">
        <f t="shared" si="14"/>
        <v>0</v>
      </c>
      <c r="T39" s="44">
        <f t="shared" si="14"/>
        <v>0</v>
      </c>
      <c r="U39" s="44">
        <f t="shared" si="14"/>
        <v>0</v>
      </c>
      <c r="V39" s="44">
        <f t="shared" si="14"/>
        <v>0</v>
      </c>
      <c r="W39" s="44">
        <f t="shared" si="14"/>
        <v>0</v>
      </c>
      <c r="X39" s="44">
        <f t="shared" si="15"/>
        <v>0</v>
      </c>
      <c r="Y39" s="44">
        <f t="shared" si="15"/>
        <v>0</v>
      </c>
      <c r="Z39" s="44">
        <f t="shared" si="15"/>
        <v>0</v>
      </c>
      <c r="AA39" s="44">
        <f t="shared" si="15"/>
        <v>0</v>
      </c>
      <c r="AB39" s="44">
        <f t="shared" si="15"/>
        <v>0</v>
      </c>
      <c r="AC39" s="44">
        <f t="shared" si="15"/>
        <v>0</v>
      </c>
      <c r="AD39" s="44">
        <f t="shared" si="15"/>
        <v>0</v>
      </c>
      <c r="AE39" s="44">
        <f t="shared" si="15"/>
        <v>0</v>
      </c>
      <c r="AF39" s="44">
        <f t="shared" si="15"/>
        <v>0</v>
      </c>
      <c r="AG39" s="44">
        <f t="shared" si="15"/>
        <v>0</v>
      </c>
      <c r="AH39" s="44">
        <f t="shared" si="15"/>
        <v>0</v>
      </c>
      <c r="AI39" s="44">
        <f t="shared" si="15"/>
        <v>0</v>
      </c>
      <c r="AJ39" s="44">
        <f t="shared" si="15"/>
        <v>0</v>
      </c>
      <c r="AK39" s="44">
        <f t="shared" si="15"/>
        <v>0</v>
      </c>
      <c r="AL39" s="44">
        <f t="shared" si="15"/>
        <v>0</v>
      </c>
    </row>
    <row r="40" spans="1:38" x14ac:dyDescent="0.25">
      <c r="A40" s="282">
        <f t="shared" si="10"/>
        <v>0</v>
      </c>
      <c r="B40" s="39">
        <f>+DESP_JANEIRO!B39</f>
        <v>420</v>
      </c>
      <c r="C40" s="39">
        <f>+DESP_JANEIRO!C39</f>
        <v>3</v>
      </c>
      <c r="D40" s="40">
        <f ca="1">+DESP_JANEIRO!F39</f>
        <v>420</v>
      </c>
      <c r="E40" s="41">
        <f t="shared" si="16"/>
        <v>420</v>
      </c>
      <c r="F40" s="42">
        <f t="shared" si="12"/>
        <v>1</v>
      </c>
      <c r="G40" s="43"/>
      <c r="H40" s="44">
        <f t="shared" si="13"/>
        <v>0</v>
      </c>
      <c r="I40" s="44">
        <f t="shared" si="14"/>
        <v>0</v>
      </c>
      <c r="J40" s="44">
        <f t="shared" si="14"/>
        <v>420</v>
      </c>
      <c r="K40" s="44">
        <f t="shared" si="14"/>
        <v>0</v>
      </c>
      <c r="L40" s="44">
        <f t="shared" si="14"/>
        <v>0</v>
      </c>
      <c r="M40" s="44">
        <f t="shared" si="14"/>
        <v>0</v>
      </c>
      <c r="N40" s="44">
        <f t="shared" si="14"/>
        <v>0</v>
      </c>
      <c r="O40" s="44">
        <f t="shared" si="14"/>
        <v>0</v>
      </c>
      <c r="P40" s="44">
        <f t="shared" si="14"/>
        <v>0</v>
      </c>
      <c r="Q40" s="44">
        <f t="shared" si="14"/>
        <v>0</v>
      </c>
      <c r="R40" s="44">
        <f t="shared" si="14"/>
        <v>0</v>
      </c>
      <c r="S40" s="44">
        <f t="shared" si="14"/>
        <v>0</v>
      </c>
      <c r="T40" s="44">
        <f t="shared" si="14"/>
        <v>0</v>
      </c>
      <c r="U40" s="44">
        <f t="shared" si="14"/>
        <v>0</v>
      </c>
      <c r="V40" s="44">
        <f t="shared" si="14"/>
        <v>0</v>
      </c>
      <c r="W40" s="44">
        <f t="shared" si="14"/>
        <v>0</v>
      </c>
      <c r="X40" s="44">
        <f t="shared" si="15"/>
        <v>0</v>
      </c>
      <c r="Y40" s="44">
        <f t="shared" si="15"/>
        <v>0</v>
      </c>
      <c r="Z40" s="44">
        <f t="shared" si="15"/>
        <v>0</v>
      </c>
      <c r="AA40" s="44">
        <f t="shared" si="15"/>
        <v>0</v>
      </c>
      <c r="AB40" s="44">
        <f t="shared" si="15"/>
        <v>0</v>
      </c>
      <c r="AC40" s="44">
        <f t="shared" si="15"/>
        <v>0</v>
      </c>
      <c r="AD40" s="44">
        <f t="shared" si="15"/>
        <v>0</v>
      </c>
      <c r="AE40" s="44">
        <f t="shared" si="15"/>
        <v>0</v>
      </c>
      <c r="AF40" s="44">
        <f t="shared" si="15"/>
        <v>0</v>
      </c>
      <c r="AG40" s="44">
        <f t="shared" si="15"/>
        <v>0</v>
      </c>
      <c r="AH40" s="44">
        <f t="shared" si="15"/>
        <v>0</v>
      </c>
      <c r="AI40" s="44">
        <f t="shared" si="15"/>
        <v>0</v>
      </c>
      <c r="AJ40" s="44">
        <f t="shared" si="15"/>
        <v>0</v>
      </c>
      <c r="AK40" s="44">
        <f t="shared" si="15"/>
        <v>0</v>
      </c>
      <c r="AL40" s="44">
        <f t="shared" si="15"/>
        <v>0</v>
      </c>
    </row>
    <row r="41" spans="1:38" x14ac:dyDescent="0.25">
      <c r="A41" s="282">
        <f t="shared" si="10"/>
        <v>0</v>
      </c>
      <c r="B41" s="39">
        <f>+DESP_JANEIRO!B40</f>
        <v>2520</v>
      </c>
      <c r="C41" s="39">
        <f>+DESP_JANEIRO!C40</f>
        <v>28</v>
      </c>
      <c r="D41" s="40">
        <f ca="1">+DESP_JANEIRO!F40</f>
        <v>0</v>
      </c>
      <c r="E41" s="41">
        <f t="shared" si="16"/>
        <v>2520</v>
      </c>
      <c r="F41" s="42">
        <f t="shared" si="12"/>
        <v>1</v>
      </c>
      <c r="G41" s="43"/>
      <c r="H41" s="44">
        <f t="shared" si="13"/>
        <v>0</v>
      </c>
      <c r="I41" s="44">
        <f t="shared" si="14"/>
        <v>0</v>
      </c>
      <c r="J41" s="44">
        <f t="shared" si="14"/>
        <v>0</v>
      </c>
      <c r="K41" s="44">
        <f t="shared" si="14"/>
        <v>0</v>
      </c>
      <c r="L41" s="44">
        <f t="shared" si="14"/>
        <v>0</v>
      </c>
      <c r="M41" s="44">
        <f t="shared" si="14"/>
        <v>0</v>
      </c>
      <c r="N41" s="44">
        <f t="shared" si="14"/>
        <v>0</v>
      </c>
      <c r="O41" s="44">
        <f t="shared" si="14"/>
        <v>0</v>
      </c>
      <c r="P41" s="44">
        <f t="shared" si="14"/>
        <v>0</v>
      </c>
      <c r="Q41" s="44">
        <f t="shared" si="14"/>
        <v>0</v>
      </c>
      <c r="R41" s="44">
        <f t="shared" si="14"/>
        <v>0</v>
      </c>
      <c r="S41" s="44">
        <f t="shared" si="14"/>
        <v>0</v>
      </c>
      <c r="T41" s="44">
        <f t="shared" si="14"/>
        <v>0</v>
      </c>
      <c r="U41" s="44">
        <f t="shared" si="14"/>
        <v>0</v>
      </c>
      <c r="V41" s="44">
        <f t="shared" si="14"/>
        <v>0</v>
      </c>
      <c r="W41" s="44">
        <f t="shared" si="14"/>
        <v>0</v>
      </c>
      <c r="X41" s="44">
        <f t="shared" si="15"/>
        <v>0</v>
      </c>
      <c r="Y41" s="44">
        <f t="shared" si="15"/>
        <v>0</v>
      </c>
      <c r="Z41" s="44">
        <f t="shared" si="15"/>
        <v>0</v>
      </c>
      <c r="AA41" s="44">
        <f t="shared" si="15"/>
        <v>0</v>
      </c>
      <c r="AB41" s="44">
        <f t="shared" si="15"/>
        <v>0</v>
      </c>
      <c r="AC41" s="44">
        <f t="shared" si="15"/>
        <v>0</v>
      </c>
      <c r="AD41" s="44">
        <f t="shared" si="15"/>
        <v>0</v>
      </c>
      <c r="AE41" s="44">
        <f t="shared" si="15"/>
        <v>0</v>
      </c>
      <c r="AF41" s="44">
        <f t="shared" si="15"/>
        <v>0</v>
      </c>
      <c r="AG41" s="44">
        <f t="shared" si="15"/>
        <v>0</v>
      </c>
      <c r="AH41" s="44">
        <f t="shared" si="15"/>
        <v>0</v>
      </c>
      <c r="AI41" s="44">
        <f t="shared" si="15"/>
        <v>2520</v>
      </c>
      <c r="AJ41" s="44">
        <f t="shared" si="15"/>
        <v>0</v>
      </c>
      <c r="AK41" s="44">
        <f t="shared" si="15"/>
        <v>0</v>
      </c>
      <c r="AL41" s="44">
        <f t="shared" si="15"/>
        <v>0</v>
      </c>
    </row>
    <row r="42" spans="1:38" x14ac:dyDescent="0.25">
      <c r="A42" s="282">
        <f t="shared" si="10"/>
        <v>0</v>
      </c>
      <c r="B42" s="39">
        <f>+DESP_JANEIRO!B41</f>
        <v>1305</v>
      </c>
      <c r="C42" s="39">
        <f>+DESP_JANEIRO!C41</f>
        <v>28</v>
      </c>
      <c r="D42" s="40">
        <f ca="1">+DESP_JANEIRO!F41</f>
        <v>0</v>
      </c>
      <c r="E42" s="41">
        <f t="shared" si="16"/>
        <v>1305</v>
      </c>
      <c r="F42" s="42">
        <f t="shared" si="12"/>
        <v>1</v>
      </c>
      <c r="G42" s="43"/>
      <c r="H42" s="44">
        <f t="shared" si="13"/>
        <v>0</v>
      </c>
      <c r="I42" s="44">
        <f t="shared" si="14"/>
        <v>0</v>
      </c>
      <c r="J42" s="44">
        <f t="shared" si="14"/>
        <v>0</v>
      </c>
      <c r="K42" s="44">
        <f t="shared" si="14"/>
        <v>0</v>
      </c>
      <c r="L42" s="44">
        <f t="shared" si="14"/>
        <v>0</v>
      </c>
      <c r="M42" s="44">
        <f t="shared" si="14"/>
        <v>0</v>
      </c>
      <c r="N42" s="44">
        <f t="shared" si="14"/>
        <v>0</v>
      </c>
      <c r="O42" s="44">
        <f t="shared" si="14"/>
        <v>0</v>
      </c>
      <c r="P42" s="44">
        <f t="shared" si="14"/>
        <v>0</v>
      </c>
      <c r="Q42" s="44">
        <f t="shared" si="14"/>
        <v>0</v>
      </c>
      <c r="R42" s="44">
        <f t="shared" si="14"/>
        <v>0</v>
      </c>
      <c r="S42" s="44">
        <f t="shared" si="14"/>
        <v>0</v>
      </c>
      <c r="T42" s="44">
        <f t="shared" si="14"/>
        <v>0</v>
      </c>
      <c r="U42" s="44">
        <f t="shared" si="14"/>
        <v>0</v>
      </c>
      <c r="V42" s="44">
        <f t="shared" si="14"/>
        <v>0</v>
      </c>
      <c r="W42" s="44">
        <f t="shared" si="14"/>
        <v>0</v>
      </c>
      <c r="X42" s="44">
        <f t="shared" si="15"/>
        <v>0</v>
      </c>
      <c r="Y42" s="44">
        <f t="shared" si="15"/>
        <v>0</v>
      </c>
      <c r="Z42" s="44">
        <f t="shared" si="15"/>
        <v>0</v>
      </c>
      <c r="AA42" s="44">
        <f t="shared" si="15"/>
        <v>0</v>
      </c>
      <c r="AB42" s="44">
        <f t="shared" si="15"/>
        <v>0</v>
      </c>
      <c r="AC42" s="44">
        <f t="shared" si="15"/>
        <v>0</v>
      </c>
      <c r="AD42" s="44">
        <f t="shared" si="15"/>
        <v>0</v>
      </c>
      <c r="AE42" s="44">
        <f t="shared" si="15"/>
        <v>0</v>
      </c>
      <c r="AF42" s="44">
        <f t="shared" si="15"/>
        <v>0</v>
      </c>
      <c r="AG42" s="44">
        <f t="shared" si="15"/>
        <v>0</v>
      </c>
      <c r="AH42" s="44">
        <f t="shared" si="15"/>
        <v>0</v>
      </c>
      <c r="AI42" s="44">
        <f t="shared" si="15"/>
        <v>1305</v>
      </c>
      <c r="AJ42" s="44">
        <f t="shared" si="15"/>
        <v>0</v>
      </c>
      <c r="AK42" s="44">
        <f t="shared" si="15"/>
        <v>0</v>
      </c>
      <c r="AL42" s="44">
        <f t="shared" si="15"/>
        <v>0</v>
      </c>
    </row>
    <row r="43" spans="1:38" x14ac:dyDescent="0.25">
      <c r="A43" s="282">
        <f t="shared" si="10"/>
        <v>0</v>
      </c>
      <c r="B43" s="39">
        <f>+DESP_JANEIRO!B42</f>
        <v>1270</v>
      </c>
      <c r="C43" s="39">
        <f>+DESP_JANEIRO!C42</f>
        <v>28</v>
      </c>
      <c r="D43" s="40">
        <f ca="1">+DESP_JANEIRO!F42</f>
        <v>0</v>
      </c>
      <c r="E43" s="41">
        <f t="shared" si="11"/>
        <v>1270</v>
      </c>
      <c r="F43" s="42">
        <f t="shared" si="12"/>
        <v>1</v>
      </c>
      <c r="G43" s="43"/>
      <c r="H43" s="44">
        <f t="shared" si="13"/>
        <v>0</v>
      </c>
      <c r="I43" s="44">
        <f t="shared" si="14"/>
        <v>0</v>
      </c>
      <c r="J43" s="44">
        <f t="shared" si="14"/>
        <v>0</v>
      </c>
      <c r="K43" s="44">
        <f t="shared" si="14"/>
        <v>0</v>
      </c>
      <c r="L43" s="44">
        <f t="shared" si="14"/>
        <v>0</v>
      </c>
      <c r="M43" s="44">
        <f t="shared" si="14"/>
        <v>0</v>
      </c>
      <c r="N43" s="44">
        <f t="shared" si="14"/>
        <v>0</v>
      </c>
      <c r="O43" s="44">
        <f t="shared" si="14"/>
        <v>0</v>
      </c>
      <c r="P43" s="44">
        <f t="shared" si="14"/>
        <v>0</v>
      </c>
      <c r="Q43" s="44">
        <f t="shared" si="14"/>
        <v>0</v>
      </c>
      <c r="R43" s="44">
        <f t="shared" si="14"/>
        <v>0</v>
      </c>
      <c r="S43" s="44">
        <f t="shared" si="14"/>
        <v>0</v>
      </c>
      <c r="T43" s="44">
        <f t="shared" si="14"/>
        <v>0</v>
      </c>
      <c r="U43" s="44">
        <f t="shared" si="14"/>
        <v>0</v>
      </c>
      <c r="V43" s="44">
        <f t="shared" si="14"/>
        <v>0</v>
      </c>
      <c r="W43" s="44">
        <f t="shared" si="14"/>
        <v>0</v>
      </c>
      <c r="X43" s="44">
        <f t="shared" si="15"/>
        <v>0</v>
      </c>
      <c r="Y43" s="44">
        <f t="shared" si="15"/>
        <v>0</v>
      </c>
      <c r="Z43" s="44">
        <f t="shared" si="15"/>
        <v>0</v>
      </c>
      <c r="AA43" s="44">
        <f t="shared" si="15"/>
        <v>0</v>
      </c>
      <c r="AB43" s="44">
        <f t="shared" si="15"/>
        <v>0</v>
      </c>
      <c r="AC43" s="44">
        <f t="shared" si="15"/>
        <v>0</v>
      </c>
      <c r="AD43" s="44">
        <f t="shared" si="15"/>
        <v>0</v>
      </c>
      <c r="AE43" s="44">
        <f t="shared" si="15"/>
        <v>0</v>
      </c>
      <c r="AF43" s="44">
        <f t="shared" si="15"/>
        <v>0</v>
      </c>
      <c r="AG43" s="44">
        <f t="shared" si="15"/>
        <v>0</v>
      </c>
      <c r="AH43" s="44">
        <f t="shared" si="15"/>
        <v>0</v>
      </c>
      <c r="AI43" s="44">
        <f t="shared" si="15"/>
        <v>1270</v>
      </c>
      <c r="AJ43" s="44">
        <f t="shared" si="15"/>
        <v>0</v>
      </c>
      <c r="AK43" s="44">
        <f t="shared" si="15"/>
        <v>0</v>
      </c>
      <c r="AL43" s="44">
        <f t="shared" si="15"/>
        <v>0</v>
      </c>
    </row>
    <row r="44" spans="1:38" x14ac:dyDescent="0.25">
      <c r="A44" s="282">
        <f t="shared" si="10"/>
        <v>0</v>
      </c>
      <c r="B44" s="39">
        <f>+DESP_JANEIRO!B43</f>
        <v>2211</v>
      </c>
      <c r="C44" s="39">
        <f>+DESP_JANEIRO!C43</f>
        <v>25</v>
      </c>
      <c r="D44" s="40">
        <f ca="1">+DESP_JANEIRO!F43</f>
        <v>0</v>
      </c>
      <c r="E44" s="41">
        <f t="shared" si="11"/>
        <v>2211</v>
      </c>
      <c r="F44" s="42">
        <f t="shared" si="12"/>
        <v>1</v>
      </c>
      <c r="G44" s="43"/>
      <c r="H44" s="44">
        <f t="shared" si="13"/>
        <v>0</v>
      </c>
      <c r="I44" s="44">
        <f t="shared" si="14"/>
        <v>0</v>
      </c>
      <c r="J44" s="44">
        <f t="shared" si="14"/>
        <v>0</v>
      </c>
      <c r="K44" s="44">
        <f t="shared" si="14"/>
        <v>0</v>
      </c>
      <c r="L44" s="44">
        <f t="shared" si="14"/>
        <v>0</v>
      </c>
      <c r="M44" s="44">
        <f t="shared" si="14"/>
        <v>0</v>
      </c>
      <c r="N44" s="44">
        <f t="shared" si="14"/>
        <v>0</v>
      </c>
      <c r="O44" s="44">
        <f t="shared" si="14"/>
        <v>0</v>
      </c>
      <c r="P44" s="44">
        <f t="shared" si="14"/>
        <v>0</v>
      </c>
      <c r="Q44" s="44">
        <f t="shared" si="14"/>
        <v>0</v>
      </c>
      <c r="R44" s="44">
        <f t="shared" si="14"/>
        <v>0</v>
      </c>
      <c r="S44" s="44">
        <f t="shared" si="14"/>
        <v>0</v>
      </c>
      <c r="T44" s="44">
        <f t="shared" si="14"/>
        <v>0</v>
      </c>
      <c r="U44" s="44">
        <f t="shared" si="14"/>
        <v>0</v>
      </c>
      <c r="V44" s="44">
        <f t="shared" si="14"/>
        <v>0</v>
      </c>
      <c r="W44" s="44">
        <f t="shared" ref="W44" si="17">+IF(W$3&gt;$D$2,0,IF($C44=W$3,$B44,0))</f>
        <v>0</v>
      </c>
      <c r="X44" s="44">
        <f t="shared" si="15"/>
        <v>0</v>
      </c>
      <c r="Y44" s="44">
        <f t="shared" si="15"/>
        <v>0</v>
      </c>
      <c r="Z44" s="44">
        <f t="shared" si="15"/>
        <v>0</v>
      </c>
      <c r="AA44" s="44">
        <f t="shared" si="15"/>
        <v>0</v>
      </c>
      <c r="AB44" s="44">
        <f t="shared" si="15"/>
        <v>0</v>
      </c>
      <c r="AC44" s="44">
        <f t="shared" si="15"/>
        <v>0</v>
      </c>
      <c r="AD44" s="44">
        <f t="shared" si="15"/>
        <v>0</v>
      </c>
      <c r="AE44" s="44">
        <f t="shared" si="15"/>
        <v>0</v>
      </c>
      <c r="AF44" s="44">
        <f t="shared" si="15"/>
        <v>2211</v>
      </c>
      <c r="AG44" s="44">
        <f t="shared" si="15"/>
        <v>0</v>
      </c>
      <c r="AH44" s="44">
        <f t="shared" si="15"/>
        <v>0</v>
      </c>
      <c r="AI44" s="44">
        <f t="shared" si="15"/>
        <v>0</v>
      </c>
      <c r="AJ44" s="44">
        <f t="shared" si="15"/>
        <v>0</v>
      </c>
      <c r="AK44" s="44">
        <f t="shared" si="15"/>
        <v>0</v>
      </c>
      <c r="AL44" s="44">
        <f t="shared" si="15"/>
        <v>0</v>
      </c>
    </row>
    <row r="45" spans="1:38" x14ac:dyDescent="0.25">
      <c r="A45" s="45" t="s">
        <v>11</v>
      </c>
      <c r="B45" s="46">
        <f>+SUM(B29:B44)</f>
        <v>22095.42</v>
      </c>
      <c r="C45" s="46"/>
      <c r="D45" s="46">
        <f ca="1">+SUM(D29:D44)</f>
        <v>7335.42</v>
      </c>
      <c r="E45" s="46">
        <f>+SUM(E29:E44)</f>
        <v>22095.42</v>
      </c>
      <c r="F45" s="48">
        <f t="shared" si="12"/>
        <v>1</v>
      </c>
      <c r="G45" s="21"/>
      <c r="H45" s="46">
        <f t="shared" ref="H45:AL45" si="18">+SUM(H29:H44)</f>
        <v>0</v>
      </c>
      <c r="I45" s="46">
        <f t="shared" si="18"/>
        <v>1000</v>
      </c>
      <c r="J45" s="46">
        <f t="shared" si="18"/>
        <v>2310</v>
      </c>
      <c r="K45" s="46">
        <f t="shared" si="18"/>
        <v>0</v>
      </c>
      <c r="L45" s="46">
        <f t="shared" si="18"/>
        <v>0</v>
      </c>
      <c r="M45" s="46">
        <f t="shared" si="18"/>
        <v>1080</v>
      </c>
      <c r="N45" s="46">
        <f t="shared" si="18"/>
        <v>0</v>
      </c>
      <c r="O45" s="46">
        <f t="shared" si="18"/>
        <v>0</v>
      </c>
      <c r="P45" s="46">
        <f t="shared" si="18"/>
        <v>0</v>
      </c>
      <c r="Q45" s="46">
        <f t="shared" si="18"/>
        <v>0</v>
      </c>
      <c r="R45" s="46">
        <f t="shared" si="18"/>
        <v>2945.42</v>
      </c>
      <c r="S45" s="46">
        <f t="shared" si="18"/>
        <v>0</v>
      </c>
      <c r="T45" s="46">
        <f t="shared" si="18"/>
        <v>0</v>
      </c>
      <c r="U45" s="46">
        <f t="shared" si="18"/>
        <v>0</v>
      </c>
      <c r="V45" s="46">
        <f t="shared" si="18"/>
        <v>2009</v>
      </c>
      <c r="W45" s="46">
        <f t="shared" si="18"/>
        <v>0</v>
      </c>
      <c r="X45" s="46">
        <f t="shared" si="18"/>
        <v>1010</v>
      </c>
      <c r="Y45" s="46">
        <f t="shared" si="18"/>
        <v>0</v>
      </c>
      <c r="Z45" s="46">
        <f t="shared" si="18"/>
        <v>0</v>
      </c>
      <c r="AA45" s="46">
        <f t="shared" si="18"/>
        <v>720</v>
      </c>
      <c r="AB45" s="46">
        <f t="shared" si="18"/>
        <v>0</v>
      </c>
      <c r="AC45" s="46">
        <f t="shared" si="18"/>
        <v>0</v>
      </c>
      <c r="AD45" s="46">
        <f t="shared" si="18"/>
        <v>0</v>
      </c>
      <c r="AE45" s="46">
        <f t="shared" si="18"/>
        <v>0</v>
      </c>
      <c r="AF45" s="46">
        <f t="shared" si="18"/>
        <v>2211</v>
      </c>
      <c r="AG45" s="46">
        <f t="shared" si="18"/>
        <v>2775</v>
      </c>
      <c r="AH45" s="46">
        <f t="shared" si="18"/>
        <v>0</v>
      </c>
      <c r="AI45" s="46">
        <f t="shared" si="18"/>
        <v>5095</v>
      </c>
      <c r="AJ45" s="46">
        <f t="shared" si="18"/>
        <v>0</v>
      </c>
      <c r="AK45" s="46">
        <f t="shared" si="18"/>
        <v>940</v>
      </c>
      <c r="AL45" s="46">
        <f t="shared" si="18"/>
        <v>0</v>
      </c>
    </row>
    <row r="46" spans="1:38" x14ac:dyDescent="0.25">
      <c r="A46" s="37"/>
      <c r="B46" s="52"/>
      <c r="C46" s="51"/>
      <c r="D46" s="51"/>
      <c r="E46" s="52"/>
      <c r="F46" s="54"/>
      <c r="G46" s="35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</row>
    <row r="47" spans="1:38" x14ac:dyDescent="0.25">
      <c r="A47" s="282">
        <f t="shared" ref="A47:A67" si="19">+SUM(H47:AL47)-B47</f>
        <v>0</v>
      </c>
      <c r="B47" s="39">
        <f>+DESP_JANEIRO!B46</f>
        <v>500</v>
      </c>
      <c r="C47" s="39">
        <f>+DESP_JANEIRO!C46</f>
        <v>15</v>
      </c>
      <c r="D47" s="40">
        <f ca="1">+DESP_JANEIRO!F46</f>
        <v>0</v>
      </c>
      <c r="E47" s="41">
        <f t="shared" si="4"/>
        <v>500</v>
      </c>
      <c r="F47" s="42">
        <f t="shared" ref="F47:F68" si="20">+IF(B47=0,"-",E47/B47)</f>
        <v>1</v>
      </c>
      <c r="G47" s="43"/>
      <c r="H47" s="44">
        <f t="shared" ref="H47:H67" si="21">+IF(H$3&gt;$D$2,0,IF(OR(C47=-1,C47=H$3),$B47,0))</f>
        <v>0</v>
      </c>
      <c r="I47" s="44">
        <f t="shared" ref="I47:W62" si="22">+IF(I$3&gt;$D$2,0,IF($C47=I$3,$B47,0))</f>
        <v>0</v>
      </c>
      <c r="J47" s="44">
        <f t="shared" si="22"/>
        <v>0</v>
      </c>
      <c r="K47" s="44">
        <f t="shared" si="22"/>
        <v>0</v>
      </c>
      <c r="L47" s="44">
        <f t="shared" si="22"/>
        <v>0</v>
      </c>
      <c r="M47" s="44">
        <f t="shared" si="22"/>
        <v>0</v>
      </c>
      <c r="N47" s="44">
        <f t="shared" si="22"/>
        <v>0</v>
      </c>
      <c r="O47" s="44">
        <f t="shared" si="22"/>
        <v>0</v>
      </c>
      <c r="P47" s="44">
        <f t="shared" si="22"/>
        <v>0</v>
      </c>
      <c r="Q47" s="44">
        <f t="shared" si="22"/>
        <v>0</v>
      </c>
      <c r="R47" s="44">
        <f t="shared" si="22"/>
        <v>0</v>
      </c>
      <c r="S47" s="44">
        <f t="shared" si="22"/>
        <v>0</v>
      </c>
      <c r="T47" s="44">
        <f t="shared" si="22"/>
        <v>0</v>
      </c>
      <c r="U47" s="44">
        <f t="shared" si="22"/>
        <v>0</v>
      </c>
      <c r="V47" s="44">
        <f t="shared" si="22"/>
        <v>500</v>
      </c>
      <c r="W47" s="44">
        <f t="shared" si="22"/>
        <v>0</v>
      </c>
      <c r="X47" s="44">
        <f t="shared" ref="X47:AL63" si="23">+IF(X$3&gt;$D$2,0,IF($C47=X$3,$B47,0))</f>
        <v>0</v>
      </c>
      <c r="Y47" s="44">
        <f t="shared" si="23"/>
        <v>0</v>
      </c>
      <c r="Z47" s="44">
        <f t="shared" si="23"/>
        <v>0</v>
      </c>
      <c r="AA47" s="44">
        <f t="shared" si="23"/>
        <v>0</v>
      </c>
      <c r="AB47" s="44">
        <f t="shared" si="23"/>
        <v>0</v>
      </c>
      <c r="AC47" s="44">
        <f t="shared" si="23"/>
        <v>0</v>
      </c>
      <c r="AD47" s="44">
        <f t="shared" si="23"/>
        <v>0</v>
      </c>
      <c r="AE47" s="44">
        <f t="shared" si="23"/>
        <v>0</v>
      </c>
      <c r="AF47" s="44">
        <f t="shared" si="23"/>
        <v>0</v>
      </c>
      <c r="AG47" s="44">
        <f t="shared" si="23"/>
        <v>0</v>
      </c>
      <c r="AH47" s="44">
        <f t="shared" si="23"/>
        <v>0</v>
      </c>
      <c r="AI47" s="44">
        <f t="shared" si="23"/>
        <v>0</v>
      </c>
      <c r="AJ47" s="44">
        <f t="shared" si="23"/>
        <v>0</v>
      </c>
      <c r="AK47" s="44">
        <f t="shared" si="23"/>
        <v>0</v>
      </c>
      <c r="AL47" s="44">
        <f t="shared" si="23"/>
        <v>0</v>
      </c>
    </row>
    <row r="48" spans="1:38" x14ac:dyDescent="0.25">
      <c r="A48" s="282">
        <f t="shared" si="19"/>
        <v>0</v>
      </c>
      <c r="B48" s="39">
        <f>+DESP_JANEIRO!B47</f>
        <v>500</v>
      </c>
      <c r="C48" s="39">
        <f>+DESP_JANEIRO!C47</f>
        <v>2</v>
      </c>
      <c r="D48" s="40">
        <f ca="1">+DESP_JANEIRO!F47</f>
        <v>500</v>
      </c>
      <c r="E48" s="41">
        <f t="shared" si="4"/>
        <v>500</v>
      </c>
      <c r="F48" s="42">
        <f t="shared" si="20"/>
        <v>1</v>
      </c>
      <c r="G48" s="43"/>
      <c r="H48" s="44">
        <f t="shared" si="21"/>
        <v>0</v>
      </c>
      <c r="I48" s="44">
        <f t="shared" si="22"/>
        <v>500</v>
      </c>
      <c r="J48" s="44">
        <f t="shared" si="22"/>
        <v>0</v>
      </c>
      <c r="K48" s="44">
        <f t="shared" si="22"/>
        <v>0</v>
      </c>
      <c r="L48" s="44">
        <f t="shared" si="22"/>
        <v>0</v>
      </c>
      <c r="M48" s="44">
        <f t="shared" si="22"/>
        <v>0</v>
      </c>
      <c r="N48" s="44">
        <f t="shared" si="22"/>
        <v>0</v>
      </c>
      <c r="O48" s="44">
        <f t="shared" si="22"/>
        <v>0</v>
      </c>
      <c r="P48" s="44">
        <f t="shared" si="22"/>
        <v>0</v>
      </c>
      <c r="Q48" s="44">
        <f t="shared" si="22"/>
        <v>0</v>
      </c>
      <c r="R48" s="44">
        <f t="shared" si="22"/>
        <v>0</v>
      </c>
      <c r="S48" s="44">
        <f t="shared" si="22"/>
        <v>0</v>
      </c>
      <c r="T48" s="44">
        <f t="shared" si="22"/>
        <v>0</v>
      </c>
      <c r="U48" s="44">
        <f t="shared" si="22"/>
        <v>0</v>
      </c>
      <c r="V48" s="44">
        <f t="shared" si="22"/>
        <v>0</v>
      </c>
      <c r="W48" s="44">
        <f t="shared" si="22"/>
        <v>0</v>
      </c>
      <c r="X48" s="44">
        <f t="shared" si="23"/>
        <v>0</v>
      </c>
      <c r="Y48" s="44">
        <f t="shared" si="23"/>
        <v>0</v>
      </c>
      <c r="Z48" s="44">
        <f t="shared" si="23"/>
        <v>0</v>
      </c>
      <c r="AA48" s="44">
        <f t="shared" si="23"/>
        <v>0</v>
      </c>
      <c r="AB48" s="44">
        <f t="shared" si="23"/>
        <v>0</v>
      </c>
      <c r="AC48" s="44">
        <f t="shared" si="23"/>
        <v>0</v>
      </c>
      <c r="AD48" s="44">
        <f t="shared" si="23"/>
        <v>0</v>
      </c>
      <c r="AE48" s="44">
        <f t="shared" si="23"/>
        <v>0</v>
      </c>
      <c r="AF48" s="44">
        <f t="shared" si="23"/>
        <v>0</v>
      </c>
      <c r="AG48" s="44">
        <f t="shared" si="23"/>
        <v>0</v>
      </c>
      <c r="AH48" s="44">
        <f t="shared" si="23"/>
        <v>0</v>
      </c>
      <c r="AI48" s="44">
        <f t="shared" si="23"/>
        <v>0</v>
      </c>
      <c r="AJ48" s="44">
        <f t="shared" si="23"/>
        <v>0</v>
      </c>
      <c r="AK48" s="44">
        <f t="shared" si="23"/>
        <v>0</v>
      </c>
      <c r="AL48" s="44">
        <f t="shared" si="23"/>
        <v>0</v>
      </c>
    </row>
    <row r="49" spans="1:38" x14ac:dyDescent="0.25">
      <c r="A49" s="282">
        <f t="shared" si="19"/>
        <v>0</v>
      </c>
      <c r="B49" s="39">
        <f>+DESP_JANEIRO!B48</f>
        <v>0</v>
      </c>
      <c r="C49" s="39">
        <f>+DESP_JANEIRO!C48</f>
        <v>0</v>
      </c>
      <c r="D49" s="40">
        <f ca="1">+DESP_JANEIRO!F48</f>
        <v>0</v>
      </c>
      <c r="E49" s="41">
        <f t="shared" si="4"/>
        <v>0</v>
      </c>
      <c r="F49" s="42" t="str">
        <f t="shared" si="20"/>
        <v>-</v>
      </c>
      <c r="G49" s="43"/>
      <c r="H49" s="44">
        <f t="shared" si="21"/>
        <v>0</v>
      </c>
      <c r="I49" s="44">
        <f t="shared" si="22"/>
        <v>0</v>
      </c>
      <c r="J49" s="44">
        <f t="shared" si="22"/>
        <v>0</v>
      </c>
      <c r="K49" s="44">
        <f t="shared" si="22"/>
        <v>0</v>
      </c>
      <c r="L49" s="44">
        <f t="shared" si="22"/>
        <v>0</v>
      </c>
      <c r="M49" s="44">
        <f t="shared" si="22"/>
        <v>0</v>
      </c>
      <c r="N49" s="44">
        <f t="shared" si="22"/>
        <v>0</v>
      </c>
      <c r="O49" s="44">
        <f t="shared" si="22"/>
        <v>0</v>
      </c>
      <c r="P49" s="44">
        <f t="shared" si="22"/>
        <v>0</v>
      </c>
      <c r="Q49" s="44">
        <f t="shared" si="22"/>
        <v>0</v>
      </c>
      <c r="R49" s="44">
        <f t="shared" si="22"/>
        <v>0</v>
      </c>
      <c r="S49" s="44">
        <f t="shared" si="22"/>
        <v>0</v>
      </c>
      <c r="T49" s="44">
        <f t="shared" si="22"/>
        <v>0</v>
      </c>
      <c r="U49" s="44">
        <f t="shared" si="22"/>
        <v>0</v>
      </c>
      <c r="V49" s="44">
        <f t="shared" si="22"/>
        <v>0</v>
      </c>
      <c r="W49" s="44">
        <f t="shared" si="22"/>
        <v>0</v>
      </c>
      <c r="X49" s="44">
        <f t="shared" si="23"/>
        <v>0</v>
      </c>
      <c r="Y49" s="44">
        <f t="shared" si="23"/>
        <v>0</v>
      </c>
      <c r="Z49" s="44">
        <f t="shared" si="23"/>
        <v>0</v>
      </c>
      <c r="AA49" s="44">
        <f t="shared" si="23"/>
        <v>0</v>
      </c>
      <c r="AB49" s="44">
        <f t="shared" si="23"/>
        <v>0</v>
      </c>
      <c r="AC49" s="44">
        <f t="shared" si="23"/>
        <v>0</v>
      </c>
      <c r="AD49" s="44">
        <f t="shared" si="23"/>
        <v>0</v>
      </c>
      <c r="AE49" s="44">
        <f t="shared" si="23"/>
        <v>0</v>
      </c>
      <c r="AF49" s="44">
        <f t="shared" si="23"/>
        <v>0</v>
      </c>
      <c r="AG49" s="44">
        <f t="shared" si="23"/>
        <v>0</v>
      </c>
      <c r="AH49" s="44">
        <f t="shared" si="23"/>
        <v>0</v>
      </c>
      <c r="AI49" s="44">
        <f t="shared" si="23"/>
        <v>0</v>
      </c>
      <c r="AJ49" s="44">
        <f t="shared" si="23"/>
        <v>0</v>
      </c>
      <c r="AK49" s="44">
        <f t="shared" si="23"/>
        <v>0</v>
      </c>
      <c r="AL49" s="44">
        <f t="shared" si="23"/>
        <v>0</v>
      </c>
    </row>
    <row r="50" spans="1:38" x14ac:dyDescent="0.25">
      <c r="A50" s="282">
        <f t="shared" si="19"/>
        <v>0</v>
      </c>
      <c r="B50" s="39">
        <f>+DESP_JANEIRO!B49</f>
        <v>0</v>
      </c>
      <c r="C50" s="39">
        <f>+DESP_JANEIRO!C49</f>
        <v>0</v>
      </c>
      <c r="D50" s="40">
        <f ca="1">+DESP_JANEIRO!F49</f>
        <v>0</v>
      </c>
      <c r="E50" s="41">
        <f t="shared" si="4"/>
        <v>0</v>
      </c>
      <c r="F50" s="42" t="str">
        <f t="shared" si="20"/>
        <v>-</v>
      </c>
      <c r="G50" s="43"/>
      <c r="H50" s="44">
        <f t="shared" si="21"/>
        <v>0</v>
      </c>
      <c r="I50" s="44">
        <f t="shared" si="22"/>
        <v>0</v>
      </c>
      <c r="J50" s="44">
        <f t="shared" si="22"/>
        <v>0</v>
      </c>
      <c r="K50" s="44">
        <f t="shared" si="22"/>
        <v>0</v>
      </c>
      <c r="L50" s="44">
        <f t="shared" si="22"/>
        <v>0</v>
      </c>
      <c r="M50" s="44">
        <f t="shared" si="22"/>
        <v>0</v>
      </c>
      <c r="N50" s="44">
        <f t="shared" si="22"/>
        <v>0</v>
      </c>
      <c r="O50" s="44">
        <f t="shared" si="22"/>
        <v>0</v>
      </c>
      <c r="P50" s="44">
        <f t="shared" si="22"/>
        <v>0</v>
      </c>
      <c r="Q50" s="44">
        <f t="shared" si="22"/>
        <v>0</v>
      </c>
      <c r="R50" s="44">
        <f t="shared" si="22"/>
        <v>0</v>
      </c>
      <c r="S50" s="44">
        <f t="shared" si="22"/>
        <v>0</v>
      </c>
      <c r="T50" s="44">
        <f t="shared" si="22"/>
        <v>0</v>
      </c>
      <c r="U50" s="44">
        <f t="shared" si="22"/>
        <v>0</v>
      </c>
      <c r="V50" s="44">
        <f t="shared" si="22"/>
        <v>0</v>
      </c>
      <c r="W50" s="44">
        <f t="shared" si="22"/>
        <v>0</v>
      </c>
      <c r="X50" s="44">
        <f t="shared" si="23"/>
        <v>0</v>
      </c>
      <c r="Y50" s="44">
        <f t="shared" si="23"/>
        <v>0</v>
      </c>
      <c r="Z50" s="44">
        <f t="shared" si="23"/>
        <v>0</v>
      </c>
      <c r="AA50" s="44">
        <f t="shared" si="23"/>
        <v>0</v>
      </c>
      <c r="AB50" s="44">
        <f t="shared" si="23"/>
        <v>0</v>
      </c>
      <c r="AC50" s="44">
        <f t="shared" si="23"/>
        <v>0</v>
      </c>
      <c r="AD50" s="44">
        <f t="shared" si="23"/>
        <v>0</v>
      </c>
      <c r="AE50" s="44">
        <f t="shared" si="23"/>
        <v>0</v>
      </c>
      <c r="AF50" s="44">
        <f t="shared" si="23"/>
        <v>0</v>
      </c>
      <c r="AG50" s="44">
        <f t="shared" si="23"/>
        <v>0</v>
      </c>
      <c r="AH50" s="44">
        <f t="shared" si="23"/>
        <v>0</v>
      </c>
      <c r="AI50" s="44">
        <f t="shared" si="23"/>
        <v>0</v>
      </c>
      <c r="AJ50" s="44">
        <f t="shared" si="23"/>
        <v>0</v>
      </c>
      <c r="AK50" s="44">
        <f t="shared" si="23"/>
        <v>0</v>
      </c>
      <c r="AL50" s="44">
        <f t="shared" si="23"/>
        <v>0</v>
      </c>
    </row>
    <row r="51" spans="1:38" x14ac:dyDescent="0.25">
      <c r="A51" s="282">
        <f t="shared" si="19"/>
        <v>0</v>
      </c>
      <c r="B51" s="39">
        <f>+DESP_JANEIRO!B50</f>
        <v>0</v>
      </c>
      <c r="C51" s="39">
        <f>+DESP_JANEIRO!C50</f>
        <v>0</v>
      </c>
      <c r="D51" s="40">
        <f ca="1">+DESP_JANEIRO!F50</f>
        <v>0</v>
      </c>
      <c r="E51" s="41">
        <f t="shared" si="4"/>
        <v>0</v>
      </c>
      <c r="F51" s="42" t="str">
        <f t="shared" si="20"/>
        <v>-</v>
      </c>
      <c r="G51" s="43"/>
      <c r="H51" s="44">
        <f t="shared" si="21"/>
        <v>0</v>
      </c>
      <c r="I51" s="44">
        <f t="shared" si="22"/>
        <v>0</v>
      </c>
      <c r="J51" s="44">
        <f t="shared" si="22"/>
        <v>0</v>
      </c>
      <c r="K51" s="44">
        <f t="shared" si="22"/>
        <v>0</v>
      </c>
      <c r="L51" s="44">
        <f t="shared" si="22"/>
        <v>0</v>
      </c>
      <c r="M51" s="44">
        <f t="shared" si="22"/>
        <v>0</v>
      </c>
      <c r="N51" s="44">
        <f t="shared" si="22"/>
        <v>0</v>
      </c>
      <c r="O51" s="44">
        <f t="shared" si="22"/>
        <v>0</v>
      </c>
      <c r="P51" s="44">
        <f t="shared" si="22"/>
        <v>0</v>
      </c>
      <c r="Q51" s="44">
        <f t="shared" si="22"/>
        <v>0</v>
      </c>
      <c r="R51" s="44">
        <f t="shared" si="22"/>
        <v>0</v>
      </c>
      <c r="S51" s="44">
        <f t="shared" si="22"/>
        <v>0</v>
      </c>
      <c r="T51" s="44">
        <f t="shared" si="22"/>
        <v>0</v>
      </c>
      <c r="U51" s="44">
        <f t="shared" si="22"/>
        <v>0</v>
      </c>
      <c r="V51" s="44">
        <f t="shared" si="22"/>
        <v>0</v>
      </c>
      <c r="W51" s="44">
        <f t="shared" si="22"/>
        <v>0</v>
      </c>
      <c r="X51" s="44">
        <f t="shared" si="23"/>
        <v>0</v>
      </c>
      <c r="Y51" s="44">
        <f t="shared" si="23"/>
        <v>0</v>
      </c>
      <c r="Z51" s="44">
        <f t="shared" si="23"/>
        <v>0</v>
      </c>
      <c r="AA51" s="44">
        <f t="shared" si="23"/>
        <v>0</v>
      </c>
      <c r="AB51" s="44">
        <f t="shared" si="23"/>
        <v>0</v>
      </c>
      <c r="AC51" s="44">
        <f t="shared" si="23"/>
        <v>0</v>
      </c>
      <c r="AD51" s="44">
        <f t="shared" si="23"/>
        <v>0</v>
      </c>
      <c r="AE51" s="44">
        <f t="shared" si="23"/>
        <v>0</v>
      </c>
      <c r="AF51" s="44">
        <f t="shared" si="23"/>
        <v>0</v>
      </c>
      <c r="AG51" s="44">
        <f t="shared" si="23"/>
        <v>0</v>
      </c>
      <c r="AH51" s="44">
        <f t="shared" si="23"/>
        <v>0</v>
      </c>
      <c r="AI51" s="44">
        <f t="shared" si="23"/>
        <v>0</v>
      </c>
      <c r="AJ51" s="44">
        <f t="shared" si="23"/>
        <v>0</v>
      </c>
      <c r="AK51" s="44">
        <f t="shared" si="23"/>
        <v>0</v>
      </c>
      <c r="AL51" s="44">
        <f t="shared" si="23"/>
        <v>0</v>
      </c>
    </row>
    <row r="52" spans="1:38" x14ac:dyDescent="0.25">
      <c r="A52" s="282">
        <f t="shared" si="19"/>
        <v>0</v>
      </c>
      <c r="B52" s="39">
        <f>+DESP_JANEIRO!B51</f>
        <v>0</v>
      </c>
      <c r="C52" s="39">
        <f>+DESP_JANEIRO!C51</f>
        <v>0</v>
      </c>
      <c r="D52" s="40">
        <f ca="1">+DESP_JANEIRO!F51</f>
        <v>0</v>
      </c>
      <c r="E52" s="41">
        <f t="shared" si="4"/>
        <v>0</v>
      </c>
      <c r="F52" s="42" t="str">
        <f t="shared" si="20"/>
        <v>-</v>
      </c>
      <c r="G52" s="43"/>
      <c r="H52" s="44">
        <f t="shared" si="21"/>
        <v>0</v>
      </c>
      <c r="I52" s="44">
        <f t="shared" si="22"/>
        <v>0</v>
      </c>
      <c r="J52" s="44">
        <f t="shared" si="22"/>
        <v>0</v>
      </c>
      <c r="K52" s="44">
        <f t="shared" si="22"/>
        <v>0</v>
      </c>
      <c r="L52" s="44">
        <f t="shared" si="22"/>
        <v>0</v>
      </c>
      <c r="M52" s="44">
        <f t="shared" si="22"/>
        <v>0</v>
      </c>
      <c r="N52" s="44">
        <f t="shared" si="22"/>
        <v>0</v>
      </c>
      <c r="O52" s="44">
        <f t="shared" si="22"/>
        <v>0</v>
      </c>
      <c r="P52" s="44">
        <f t="shared" si="22"/>
        <v>0</v>
      </c>
      <c r="Q52" s="44">
        <f t="shared" si="22"/>
        <v>0</v>
      </c>
      <c r="R52" s="44">
        <f t="shared" si="22"/>
        <v>0</v>
      </c>
      <c r="S52" s="44">
        <f t="shared" si="22"/>
        <v>0</v>
      </c>
      <c r="T52" s="44">
        <f t="shared" si="22"/>
        <v>0</v>
      </c>
      <c r="U52" s="44">
        <f t="shared" si="22"/>
        <v>0</v>
      </c>
      <c r="V52" s="44">
        <f t="shared" si="22"/>
        <v>0</v>
      </c>
      <c r="W52" s="44">
        <f t="shared" si="22"/>
        <v>0</v>
      </c>
      <c r="X52" s="44">
        <f t="shared" si="23"/>
        <v>0</v>
      </c>
      <c r="Y52" s="44">
        <f t="shared" si="23"/>
        <v>0</v>
      </c>
      <c r="Z52" s="44">
        <f t="shared" si="23"/>
        <v>0</v>
      </c>
      <c r="AA52" s="44">
        <f t="shared" si="23"/>
        <v>0</v>
      </c>
      <c r="AB52" s="44">
        <f t="shared" si="23"/>
        <v>0</v>
      </c>
      <c r="AC52" s="44">
        <f t="shared" si="23"/>
        <v>0</v>
      </c>
      <c r="AD52" s="44">
        <f t="shared" si="23"/>
        <v>0</v>
      </c>
      <c r="AE52" s="44">
        <f t="shared" si="23"/>
        <v>0</v>
      </c>
      <c r="AF52" s="44">
        <f t="shared" si="23"/>
        <v>0</v>
      </c>
      <c r="AG52" s="44">
        <f t="shared" si="23"/>
        <v>0</v>
      </c>
      <c r="AH52" s="44">
        <f t="shared" si="23"/>
        <v>0</v>
      </c>
      <c r="AI52" s="44">
        <f t="shared" si="23"/>
        <v>0</v>
      </c>
      <c r="AJ52" s="44">
        <f t="shared" si="23"/>
        <v>0</v>
      </c>
      <c r="AK52" s="44">
        <f t="shared" si="23"/>
        <v>0</v>
      </c>
      <c r="AL52" s="44">
        <f t="shared" si="23"/>
        <v>0</v>
      </c>
    </row>
    <row r="53" spans="1:38" x14ac:dyDescent="0.25">
      <c r="A53" s="282">
        <f t="shared" si="19"/>
        <v>0</v>
      </c>
      <c r="B53" s="39">
        <f>+DESP_JANEIRO!B52</f>
        <v>0</v>
      </c>
      <c r="C53" s="39">
        <f>+DESP_JANEIRO!C52</f>
        <v>0</v>
      </c>
      <c r="D53" s="40">
        <f ca="1">+DESP_JANEIRO!F52</f>
        <v>0</v>
      </c>
      <c r="E53" s="41">
        <f t="shared" si="4"/>
        <v>0</v>
      </c>
      <c r="F53" s="42" t="str">
        <f t="shared" si="20"/>
        <v>-</v>
      </c>
      <c r="G53" s="43"/>
      <c r="H53" s="44">
        <f t="shared" si="21"/>
        <v>0</v>
      </c>
      <c r="I53" s="44">
        <f t="shared" si="22"/>
        <v>0</v>
      </c>
      <c r="J53" s="44">
        <f t="shared" si="22"/>
        <v>0</v>
      </c>
      <c r="K53" s="44">
        <f t="shared" si="22"/>
        <v>0</v>
      </c>
      <c r="L53" s="44">
        <f t="shared" si="22"/>
        <v>0</v>
      </c>
      <c r="M53" s="44">
        <f t="shared" si="22"/>
        <v>0</v>
      </c>
      <c r="N53" s="44">
        <f t="shared" si="22"/>
        <v>0</v>
      </c>
      <c r="O53" s="44">
        <f t="shared" si="22"/>
        <v>0</v>
      </c>
      <c r="P53" s="44">
        <f t="shared" si="22"/>
        <v>0</v>
      </c>
      <c r="Q53" s="44">
        <f t="shared" si="22"/>
        <v>0</v>
      </c>
      <c r="R53" s="44">
        <f t="shared" si="22"/>
        <v>0</v>
      </c>
      <c r="S53" s="44">
        <f t="shared" si="22"/>
        <v>0</v>
      </c>
      <c r="T53" s="44">
        <f t="shared" si="22"/>
        <v>0</v>
      </c>
      <c r="U53" s="44">
        <f t="shared" si="22"/>
        <v>0</v>
      </c>
      <c r="V53" s="44">
        <f t="shared" si="22"/>
        <v>0</v>
      </c>
      <c r="W53" s="44">
        <f t="shared" si="22"/>
        <v>0</v>
      </c>
      <c r="X53" s="44">
        <f t="shared" si="23"/>
        <v>0</v>
      </c>
      <c r="Y53" s="44">
        <f t="shared" si="23"/>
        <v>0</v>
      </c>
      <c r="Z53" s="44">
        <f t="shared" si="23"/>
        <v>0</v>
      </c>
      <c r="AA53" s="44">
        <f t="shared" si="23"/>
        <v>0</v>
      </c>
      <c r="AB53" s="44">
        <f t="shared" si="23"/>
        <v>0</v>
      </c>
      <c r="AC53" s="44">
        <f t="shared" si="23"/>
        <v>0</v>
      </c>
      <c r="AD53" s="44">
        <f t="shared" si="23"/>
        <v>0</v>
      </c>
      <c r="AE53" s="44">
        <f t="shared" si="23"/>
        <v>0</v>
      </c>
      <c r="AF53" s="44">
        <f t="shared" si="23"/>
        <v>0</v>
      </c>
      <c r="AG53" s="44">
        <f t="shared" si="23"/>
        <v>0</v>
      </c>
      <c r="AH53" s="44">
        <f t="shared" si="23"/>
        <v>0</v>
      </c>
      <c r="AI53" s="44">
        <f t="shared" si="23"/>
        <v>0</v>
      </c>
      <c r="AJ53" s="44">
        <f t="shared" si="23"/>
        <v>0</v>
      </c>
      <c r="AK53" s="44">
        <f t="shared" si="23"/>
        <v>0</v>
      </c>
      <c r="AL53" s="44">
        <f t="shared" si="23"/>
        <v>0</v>
      </c>
    </row>
    <row r="54" spans="1:38" x14ac:dyDescent="0.25">
      <c r="A54" s="282">
        <f t="shared" si="19"/>
        <v>0</v>
      </c>
      <c r="B54" s="39">
        <f>+DESP_JANEIRO!B53</f>
        <v>0</v>
      </c>
      <c r="C54" s="39">
        <f>+DESP_JANEIRO!C53</f>
        <v>0</v>
      </c>
      <c r="D54" s="40">
        <f ca="1">+DESP_JANEIRO!F53</f>
        <v>0</v>
      </c>
      <c r="E54" s="41">
        <f t="shared" si="4"/>
        <v>0</v>
      </c>
      <c r="F54" s="42" t="str">
        <f t="shared" si="20"/>
        <v>-</v>
      </c>
      <c r="G54" s="43"/>
      <c r="H54" s="44">
        <f t="shared" si="21"/>
        <v>0</v>
      </c>
      <c r="I54" s="44">
        <f t="shared" si="22"/>
        <v>0</v>
      </c>
      <c r="J54" s="44">
        <f t="shared" si="22"/>
        <v>0</v>
      </c>
      <c r="K54" s="44">
        <f t="shared" si="22"/>
        <v>0</v>
      </c>
      <c r="L54" s="44">
        <f t="shared" si="22"/>
        <v>0</v>
      </c>
      <c r="M54" s="44">
        <f t="shared" si="22"/>
        <v>0</v>
      </c>
      <c r="N54" s="44">
        <f t="shared" si="22"/>
        <v>0</v>
      </c>
      <c r="O54" s="44">
        <f t="shared" si="22"/>
        <v>0</v>
      </c>
      <c r="P54" s="44">
        <f t="shared" si="22"/>
        <v>0</v>
      </c>
      <c r="Q54" s="44">
        <f t="shared" si="22"/>
        <v>0</v>
      </c>
      <c r="R54" s="44">
        <f t="shared" si="22"/>
        <v>0</v>
      </c>
      <c r="S54" s="44">
        <f t="shared" si="22"/>
        <v>0</v>
      </c>
      <c r="T54" s="44">
        <f t="shared" si="22"/>
        <v>0</v>
      </c>
      <c r="U54" s="44">
        <f t="shared" si="22"/>
        <v>0</v>
      </c>
      <c r="V54" s="44">
        <f t="shared" si="22"/>
        <v>0</v>
      </c>
      <c r="W54" s="44">
        <f t="shared" si="22"/>
        <v>0</v>
      </c>
      <c r="X54" s="44">
        <f t="shared" si="23"/>
        <v>0</v>
      </c>
      <c r="Y54" s="44">
        <f t="shared" si="23"/>
        <v>0</v>
      </c>
      <c r="Z54" s="44">
        <f t="shared" si="23"/>
        <v>0</v>
      </c>
      <c r="AA54" s="44">
        <f t="shared" si="23"/>
        <v>0</v>
      </c>
      <c r="AB54" s="44">
        <f t="shared" si="23"/>
        <v>0</v>
      </c>
      <c r="AC54" s="44">
        <f t="shared" si="23"/>
        <v>0</v>
      </c>
      <c r="AD54" s="44">
        <f t="shared" si="23"/>
        <v>0</v>
      </c>
      <c r="AE54" s="44">
        <f t="shared" si="23"/>
        <v>0</v>
      </c>
      <c r="AF54" s="44">
        <f t="shared" si="23"/>
        <v>0</v>
      </c>
      <c r="AG54" s="44">
        <f t="shared" si="23"/>
        <v>0</v>
      </c>
      <c r="AH54" s="44">
        <f t="shared" si="23"/>
        <v>0</v>
      </c>
      <c r="AI54" s="44">
        <f t="shared" si="23"/>
        <v>0</v>
      </c>
      <c r="AJ54" s="44">
        <f t="shared" si="23"/>
        <v>0</v>
      </c>
      <c r="AK54" s="44">
        <f t="shared" si="23"/>
        <v>0</v>
      </c>
      <c r="AL54" s="44">
        <f t="shared" si="23"/>
        <v>0</v>
      </c>
    </row>
    <row r="55" spans="1:38" x14ac:dyDescent="0.25">
      <c r="A55" s="282">
        <f t="shared" si="19"/>
        <v>0</v>
      </c>
      <c r="B55" s="39">
        <f>+DESP_JANEIRO!B54</f>
        <v>0</v>
      </c>
      <c r="C55" s="39">
        <f>+DESP_JANEIRO!C54</f>
        <v>0</v>
      </c>
      <c r="D55" s="40">
        <f ca="1">+DESP_JANEIRO!F54</f>
        <v>0</v>
      </c>
      <c r="E55" s="41">
        <f t="shared" si="4"/>
        <v>0</v>
      </c>
      <c r="F55" s="42" t="str">
        <f t="shared" si="20"/>
        <v>-</v>
      </c>
      <c r="G55" s="43"/>
      <c r="H55" s="44">
        <f t="shared" si="21"/>
        <v>0</v>
      </c>
      <c r="I55" s="44">
        <f t="shared" si="22"/>
        <v>0</v>
      </c>
      <c r="J55" s="44">
        <f t="shared" si="22"/>
        <v>0</v>
      </c>
      <c r="K55" s="44">
        <f t="shared" si="22"/>
        <v>0</v>
      </c>
      <c r="L55" s="44">
        <f t="shared" si="22"/>
        <v>0</v>
      </c>
      <c r="M55" s="44">
        <f t="shared" si="22"/>
        <v>0</v>
      </c>
      <c r="N55" s="44">
        <f t="shared" si="22"/>
        <v>0</v>
      </c>
      <c r="O55" s="44">
        <f t="shared" si="22"/>
        <v>0</v>
      </c>
      <c r="P55" s="44">
        <f t="shared" si="22"/>
        <v>0</v>
      </c>
      <c r="Q55" s="44">
        <f t="shared" si="22"/>
        <v>0</v>
      </c>
      <c r="R55" s="44">
        <f t="shared" si="22"/>
        <v>0</v>
      </c>
      <c r="S55" s="44">
        <f t="shared" si="22"/>
        <v>0</v>
      </c>
      <c r="T55" s="44">
        <f t="shared" si="22"/>
        <v>0</v>
      </c>
      <c r="U55" s="44">
        <f t="shared" si="22"/>
        <v>0</v>
      </c>
      <c r="V55" s="44">
        <f t="shared" si="22"/>
        <v>0</v>
      </c>
      <c r="W55" s="44">
        <f t="shared" si="22"/>
        <v>0</v>
      </c>
      <c r="X55" s="44">
        <f t="shared" si="23"/>
        <v>0</v>
      </c>
      <c r="Y55" s="44">
        <f t="shared" si="23"/>
        <v>0</v>
      </c>
      <c r="Z55" s="44">
        <f t="shared" si="23"/>
        <v>0</v>
      </c>
      <c r="AA55" s="44">
        <f t="shared" si="23"/>
        <v>0</v>
      </c>
      <c r="AB55" s="44">
        <f t="shared" si="23"/>
        <v>0</v>
      </c>
      <c r="AC55" s="44">
        <f t="shared" si="23"/>
        <v>0</v>
      </c>
      <c r="AD55" s="44">
        <f t="shared" si="23"/>
        <v>0</v>
      </c>
      <c r="AE55" s="44">
        <f t="shared" si="23"/>
        <v>0</v>
      </c>
      <c r="AF55" s="44">
        <f t="shared" si="23"/>
        <v>0</v>
      </c>
      <c r="AG55" s="44">
        <f t="shared" si="23"/>
        <v>0</v>
      </c>
      <c r="AH55" s="44">
        <f t="shared" si="23"/>
        <v>0</v>
      </c>
      <c r="AI55" s="44">
        <f t="shared" si="23"/>
        <v>0</v>
      </c>
      <c r="AJ55" s="44">
        <f t="shared" si="23"/>
        <v>0</v>
      </c>
      <c r="AK55" s="44">
        <f t="shared" si="23"/>
        <v>0</v>
      </c>
      <c r="AL55" s="44">
        <f t="shared" si="23"/>
        <v>0</v>
      </c>
    </row>
    <row r="56" spans="1:38" x14ac:dyDescent="0.25">
      <c r="A56" s="282">
        <f t="shared" si="19"/>
        <v>0</v>
      </c>
      <c r="B56" s="39">
        <f>+DESP_JANEIRO!B55</f>
        <v>0</v>
      </c>
      <c r="C56" s="39">
        <f>+DESP_JANEIRO!C55</f>
        <v>0</v>
      </c>
      <c r="D56" s="40">
        <f ca="1">+DESP_JANEIRO!F55</f>
        <v>0</v>
      </c>
      <c r="E56" s="41">
        <f t="shared" si="4"/>
        <v>0</v>
      </c>
      <c r="F56" s="42" t="str">
        <f t="shared" si="20"/>
        <v>-</v>
      </c>
      <c r="G56" s="43"/>
      <c r="H56" s="44">
        <f t="shared" si="21"/>
        <v>0</v>
      </c>
      <c r="I56" s="44">
        <f t="shared" si="22"/>
        <v>0</v>
      </c>
      <c r="J56" s="44">
        <f t="shared" si="22"/>
        <v>0</v>
      </c>
      <c r="K56" s="44">
        <f t="shared" si="22"/>
        <v>0</v>
      </c>
      <c r="L56" s="44">
        <f t="shared" si="22"/>
        <v>0</v>
      </c>
      <c r="M56" s="44">
        <f t="shared" si="22"/>
        <v>0</v>
      </c>
      <c r="N56" s="44">
        <f t="shared" si="22"/>
        <v>0</v>
      </c>
      <c r="O56" s="44">
        <f t="shared" si="22"/>
        <v>0</v>
      </c>
      <c r="P56" s="44">
        <f t="shared" si="22"/>
        <v>0</v>
      </c>
      <c r="Q56" s="44">
        <f t="shared" si="22"/>
        <v>0</v>
      </c>
      <c r="R56" s="44">
        <f t="shared" si="22"/>
        <v>0</v>
      </c>
      <c r="S56" s="44">
        <f t="shared" si="22"/>
        <v>0</v>
      </c>
      <c r="T56" s="44">
        <f t="shared" si="22"/>
        <v>0</v>
      </c>
      <c r="U56" s="44">
        <f t="shared" si="22"/>
        <v>0</v>
      </c>
      <c r="V56" s="44">
        <f t="shared" si="22"/>
        <v>0</v>
      </c>
      <c r="W56" s="44">
        <f t="shared" si="22"/>
        <v>0</v>
      </c>
      <c r="X56" s="44">
        <f t="shared" si="23"/>
        <v>0</v>
      </c>
      <c r="Y56" s="44">
        <f t="shared" si="23"/>
        <v>0</v>
      </c>
      <c r="Z56" s="44">
        <f t="shared" si="23"/>
        <v>0</v>
      </c>
      <c r="AA56" s="44">
        <f t="shared" si="23"/>
        <v>0</v>
      </c>
      <c r="AB56" s="44">
        <f t="shared" si="23"/>
        <v>0</v>
      </c>
      <c r="AC56" s="44">
        <f t="shared" si="23"/>
        <v>0</v>
      </c>
      <c r="AD56" s="44">
        <f t="shared" si="23"/>
        <v>0</v>
      </c>
      <c r="AE56" s="44">
        <f t="shared" si="23"/>
        <v>0</v>
      </c>
      <c r="AF56" s="44">
        <f t="shared" si="23"/>
        <v>0</v>
      </c>
      <c r="AG56" s="44">
        <f t="shared" si="23"/>
        <v>0</v>
      </c>
      <c r="AH56" s="44">
        <f t="shared" si="23"/>
        <v>0</v>
      </c>
      <c r="AI56" s="44">
        <f t="shared" si="23"/>
        <v>0</v>
      </c>
      <c r="AJ56" s="44">
        <f t="shared" si="23"/>
        <v>0</v>
      </c>
      <c r="AK56" s="44">
        <f t="shared" si="23"/>
        <v>0</v>
      </c>
      <c r="AL56" s="44">
        <f t="shared" si="23"/>
        <v>0</v>
      </c>
    </row>
    <row r="57" spans="1:38" x14ac:dyDescent="0.25">
      <c r="A57" s="282">
        <f t="shared" si="19"/>
        <v>0</v>
      </c>
      <c r="B57" s="39">
        <f>+DESP_JANEIRO!B56</f>
        <v>0</v>
      </c>
      <c r="C57" s="39">
        <f>+DESP_JANEIRO!C56</f>
        <v>0</v>
      </c>
      <c r="D57" s="40">
        <f ca="1">+DESP_JANEIRO!F56</f>
        <v>0</v>
      </c>
      <c r="E57" s="41">
        <f t="shared" si="4"/>
        <v>0</v>
      </c>
      <c r="F57" s="42" t="str">
        <f t="shared" si="20"/>
        <v>-</v>
      </c>
      <c r="G57" s="43"/>
      <c r="H57" s="44">
        <f t="shared" si="21"/>
        <v>0</v>
      </c>
      <c r="I57" s="44">
        <f t="shared" si="22"/>
        <v>0</v>
      </c>
      <c r="J57" s="44">
        <f t="shared" si="22"/>
        <v>0</v>
      </c>
      <c r="K57" s="44">
        <f t="shared" si="22"/>
        <v>0</v>
      </c>
      <c r="L57" s="44">
        <f t="shared" si="22"/>
        <v>0</v>
      </c>
      <c r="M57" s="44">
        <f t="shared" si="22"/>
        <v>0</v>
      </c>
      <c r="N57" s="44">
        <f t="shared" si="22"/>
        <v>0</v>
      </c>
      <c r="O57" s="44">
        <f t="shared" si="22"/>
        <v>0</v>
      </c>
      <c r="P57" s="44">
        <f t="shared" si="22"/>
        <v>0</v>
      </c>
      <c r="Q57" s="44">
        <f t="shared" si="22"/>
        <v>0</v>
      </c>
      <c r="R57" s="44">
        <f t="shared" si="22"/>
        <v>0</v>
      </c>
      <c r="S57" s="44">
        <f t="shared" si="22"/>
        <v>0</v>
      </c>
      <c r="T57" s="44">
        <f t="shared" si="22"/>
        <v>0</v>
      </c>
      <c r="U57" s="44">
        <f t="shared" si="22"/>
        <v>0</v>
      </c>
      <c r="V57" s="44">
        <f t="shared" si="22"/>
        <v>0</v>
      </c>
      <c r="W57" s="44">
        <f t="shared" si="22"/>
        <v>0</v>
      </c>
      <c r="X57" s="44">
        <f t="shared" si="23"/>
        <v>0</v>
      </c>
      <c r="Y57" s="44">
        <f t="shared" si="23"/>
        <v>0</v>
      </c>
      <c r="Z57" s="44">
        <f t="shared" si="23"/>
        <v>0</v>
      </c>
      <c r="AA57" s="44">
        <f t="shared" si="23"/>
        <v>0</v>
      </c>
      <c r="AB57" s="44">
        <f t="shared" si="23"/>
        <v>0</v>
      </c>
      <c r="AC57" s="44">
        <f t="shared" si="23"/>
        <v>0</v>
      </c>
      <c r="AD57" s="44">
        <f t="shared" si="23"/>
        <v>0</v>
      </c>
      <c r="AE57" s="44">
        <f t="shared" si="23"/>
        <v>0</v>
      </c>
      <c r="AF57" s="44">
        <f t="shared" si="23"/>
        <v>0</v>
      </c>
      <c r="AG57" s="44">
        <f t="shared" si="23"/>
        <v>0</v>
      </c>
      <c r="AH57" s="44">
        <f t="shared" si="23"/>
        <v>0</v>
      </c>
      <c r="AI57" s="44">
        <f t="shared" si="23"/>
        <v>0</v>
      </c>
      <c r="AJ57" s="44">
        <f t="shared" si="23"/>
        <v>0</v>
      </c>
      <c r="AK57" s="44">
        <f t="shared" si="23"/>
        <v>0</v>
      </c>
      <c r="AL57" s="44">
        <f t="shared" si="23"/>
        <v>0</v>
      </c>
    </row>
    <row r="58" spans="1:38" x14ac:dyDescent="0.25">
      <c r="A58" s="282">
        <f t="shared" si="19"/>
        <v>0</v>
      </c>
      <c r="B58" s="39">
        <f>+DESP_JANEIRO!B57</f>
        <v>0</v>
      </c>
      <c r="C58" s="39">
        <f>+DESP_JANEIRO!C57</f>
        <v>0</v>
      </c>
      <c r="D58" s="40">
        <f ca="1">+DESP_JANEIRO!F57</f>
        <v>0</v>
      </c>
      <c r="E58" s="41">
        <f t="shared" si="4"/>
        <v>0</v>
      </c>
      <c r="F58" s="42" t="str">
        <f t="shared" si="20"/>
        <v>-</v>
      </c>
      <c r="G58" s="43"/>
      <c r="H58" s="44">
        <f t="shared" si="21"/>
        <v>0</v>
      </c>
      <c r="I58" s="44">
        <f t="shared" si="22"/>
        <v>0</v>
      </c>
      <c r="J58" s="44">
        <f t="shared" si="22"/>
        <v>0</v>
      </c>
      <c r="K58" s="44">
        <f t="shared" si="22"/>
        <v>0</v>
      </c>
      <c r="L58" s="44">
        <f t="shared" si="22"/>
        <v>0</v>
      </c>
      <c r="M58" s="44">
        <f t="shared" si="22"/>
        <v>0</v>
      </c>
      <c r="N58" s="44">
        <f t="shared" si="22"/>
        <v>0</v>
      </c>
      <c r="O58" s="44">
        <f t="shared" si="22"/>
        <v>0</v>
      </c>
      <c r="P58" s="44">
        <f t="shared" si="22"/>
        <v>0</v>
      </c>
      <c r="Q58" s="44">
        <f t="shared" si="22"/>
        <v>0</v>
      </c>
      <c r="R58" s="44">
        <f t="shared" si="22"/>
        <v>0</v>
      </c>
      <c r="S58" s="44">
        <f t="shared" si="22"/>
        <v>0</v>
      </c>
      <c r="T58" s="44">
        <f t="shared" si="22"/>
        <v>0</v>
      </c>
      <c r="U58" s="44">
        <f t="shared" si="22"/>
        <v>0</v>
      </c>
      <c r="V58" s="44">
        <f t="shared" si="22"/>
        <v>0</v>
      </c>
      <c r="W58" s="44">
        <f t="shared" si="22"/>
        <v>0</v>
      </c>
      <c r="X58" s="44">
        <f t="shared" si="23"/>
        <v>0</v>
      </c>
      <c r="Y58" s="44">
        <f t="shared" si="23"/>
        <v>0</v>
      </c>
      <c r="Z58" s="44">
        <f t="shared" si="23"/>
        <v>0</v>
      </c>
      <c r="AA58" s="44">
        <f t="shared" si="23"/>
        <v>0</v>
      </c>
      <c r="AB58" s="44">
        <f t="shared" si="23"/>
        <v>0</v>
      </c>
      <c r="AC58" s="44">
        <f t="shared" si="23"/>
        <v>0</v>
      </c>
      <c r="AD58" s="44">
        <f t="shared" si="23"/>
        <v>0</v>
      </c>
      <c r="AE58" s="44">
        <f t="shared" si="23"/>
        <v>0</v>
      </c>
      <c r="AF58" s="44">
        <f t="shared" si="23"/>
        <v>0</v>
      </c>
      <c r="AG58" s="44">
        <f t="shared" si="23"/>
        <v>0</v>
      </c>
      <c r="AH58" s="44">
        <f t="shared" si="23"/>
        <v>0</v>
      </c>
      <c r="AI58" s="44">
        <f t="shared" si="23"/>
        <v>0</v>
      </c>
      <c r="AJ58" s="44">
        <f t="shared" si="23"/>
        <v>0</v>
      </c>
      <c r="AK58" s="44">
        <f t="shared" si="23"/>
        <v>0</v>
      </c>
      <c r="AL58" s="44">
        <f t="shared" si="23"/>
        <v>0</v>
      </c>
    </row>
    <row r="59" spans="1:38" x14ac:dyDescent="0.25">
      <c r="A59" s="282">
        <f t="shared" si="19"/>
        <v>0</v>
      </c>
      <c r="B59" s="39">
        <f>+DESP_JANEIRO!B58</f>
        <v>0</v>
      </c>
      <c r="C59" s="39">
        <f>+DESP_JANEIRO!C58</f>
        <v>0</v>
      </c>
      <c r="D59" s="40">
        <f ca="1">+DESP_JANEIRO!F58</f>
        <v>0</v>
      </c>
      <c r="E59" s="41">
        <f t="shared" si="4"/>
        <v>0</v>
      </c>
      <c r="F59" s="42" t="str">
        <f t="shared" si="20"/>
        <v>-</v>
      </c>
      <c r="G59" s="43"/>
      <c r="H59" s="44">
        <f t="shared" si="21"/>
        <v>0</v>
      </c>
      <c r="I59" s="44">
        <f t="shared" si="22"/>
        <v>0</v>
      </c>
      <c r="J59" s="44">
        <f t="shared" si="22"/>
        <v>0</v>
      </c>
      <c r="K59" s="44">
        <f t="shared" si="22"/>
        <v>0</v>
      </c>
      <c r="L59" s="44">
        <f t="shared" si="22"/>
        <v>0</v>
      </c>
      <c r="M59" s="44">
        <f t="shared" si="22"/>
        <v>0</v>
      </c>
      <c r="N59" s="44">
        <f t="shared" si="22"/>
        <v>0</v>
      </c>
      <c r="O59" s="44">
        <f t="shared" si="22"/>
        <v>0</v>
      </c>
      <c r="P59" s="44">
        <f t="shared" si="22"/>
        <v>0</v>
      </c>
      <c r="Q59" s="44">
        <f t="shared" si="22"/>
        <v>0</v>
      </c>
      <c r="R59" s="44">
        <f t="shared" si="22"/>
        <v>0</v>
      </c>
      <c r="S59" s="44">
        <f t="shared" si="22"/>
        <v>0</v>
      </c>
      <c r="T59" s="44">
        <f t="shared" si="22"/>
        <v>0</v>
      </c>
      <c r="U59" s="44">
        <f t="shared" si="22"/>
        <v>0</v>
      </c>
      <c r="V59" s="44">
        <f t="shared" si="22"/>
        <v>0</v>
      </c>
      <c r="W59" s="44">
        <f t="shared" si="22"/>
        <v>0</v>
      </c>
      <c r="X59" s="44">
        <f t="shared" si="23"/>
        <v>0</v>
      </c>
      <c r="Y59" s="44">
        <f t="shared" si="23"/>
        <v>0</v>
      </c>
      <c r="Z59" s="44">
        <f t="shared" si="23"/>
        <v>0</v>
      </c>
      <c r="AA59" s="44">
        <f t="shared" si="23"/>
        <v>0</v>
      </c>
      <c r="AB59" s="44">
        <f t="shared" si="23"/>
        <v>0</v>
      </c>
      <c r="AC59" s="44">
        <f t="shared" si="23"/>
        <v>0</v>
      </c>
      <c r="AD59" s="44">
        <f t="shared" si="23"/>
        <v>0</v>
      </c>
      <c r="AE59" s="44">
        <f t="shared" si="23"/>
        <v>0</v>
      </c>
      <c r="AF59" s="44">
        <f t="shared" si="23"/>
        <v>0</v>
      </c>
      <c r="AG59" s="44">
        <f t="shared" si="23"/>
        <v>0</v>
      </c>
      <c r="AH59" s="44">
        <f t="shared" si="23"/>
        <v>0</v>
      </c>
      <c r="AI59" s="44">
        <f t="shared" si="23"/>
        <v>0</v>
      </c>
      <c r="AJ59" s="44">
        <f t="shared" si="23"/>
        <v>0</v>
      </c>
      <c r="AK59" s="44">
        <f t="shared" si="23"/>
        <v>0</v>
      </c>
      <c r="AL59" s="44">
        <f t="shared" si="23"/>
        <v>0</v>
      </c>
    </row>
    <row r="60" spans="1:38" x14ac:dyDescent="0.25">
      <c r="A60" s="282">
        <f t="shared" si="19"/>
        <v>0</v>
      </c>
      <c r="B60" s="39">
        <f>+DESP_JANEIRO!B59</f>
        <v>0</v>
      </c>
      <c r="C60" s="39">
        <f>+DESP_JANEIRO!C59</f>
        <v>0</v>
      </c>
      <c r="D60" s="40">
        <f ca="1">+DESP_JANEIRO!F59</f>
        <v>0</v>
      </c>
      <c r="E60" s="41">
        <f t="shared" si="4"/>
        <v>0</v>
      </c>
      <c r="F60" s="42" t="str">
        <f t="shared" si="20"/>
        <v>-</v>
      </c>
      <c r="G60" s="43"/>
      <c r="H60" s="44">
        <f t="shared" si="21"/>
        <v>0</v>
      </c>
      <c r="I60" s="44">
        <f t="shared" si="22"/>
        <v>0</v>
      </c>
      <c r="J60" s="44">
        <f t="shared" si="22"/>
        <v>0</v>
      </c>
      <c r="K60" s="44">
        <f t="shared" si="22"/>
        <v>0</v>
      </c>
      <c r="L60" s="44">
        <f t="shared" si="22"/>
        <v>0</v>
      </c>
      <c r="M60" s="44">
        <f t="shared" si="22"/>
        <v>0</v>
      </c>
      <c r="N60" s="44">
        <f t="shared" si="22"/>
        <v>0</v>
      </c>
      <c r="O60" s="44">
        <f t="shared" si="22"/>
        <v>0</v>
      </c>
      <c r="P60" s="44">
        <f t="shared" si="22"/>
        <v>0</v>
      </c>
      <c r="Q60" s="44">
        <f t="shared" si="22"/>
        <v>0</v>
      </c>
      <c r="R60" s="44">
        <f t="shared" si="22"/>
        <v>0</v>
      </c>
      <c r="S60" s="44">
        <f t="shared" si="22"/>
        <v>0</v>
      </c>
      <c r="T60" s="44">
        <f t="shared" si="22"/>
        <v>0</v>
      </c>
      <c r="U60" s="44">
        <f t="shared" si="22"/>
        <v>0</v>
      </c>
      <c r="V60" s="44">
        <f t="shared" si="22"/>
        <v>0</v>
      </c>
      <c r="W60" s="44">
        <f t="shared" si="22"/>
        <v>0</v>
      </c>
      <c r="X60" s="44">
        <f t="shared" si="23"/>
        <v>0</v>
      </c>
      <c r="Y60" s="44">
        <f t="shared" si="23"/>
        <v>0</v>
      </c>
      <c r="Z60" s="44">
        <f t="shared" si="23"/>
        <v>0</v>
      </c>
      <c r="AA60" s="44">
        <f t="shared" si="23"/>
        <v>0</v>
      </c>
      <c r="AB60" s="44">
        <f t="shared" si="23"/>
        <v>0</v>
      </c>
      <c r="AC60" s="44">
        <f t="shared" si="23"/>
        <v>0</v>
      </c>
      <c r="AD60" s="44">
        <f t="shared" si="23"/>
        <v>0</v>
      </c>
      <c r="AE60" s="44">
        <f t="shared" si="23"/>
        <v>0</v>
      </c>
      <c r="AF60" s="44">
        <f t="shared" si="23"/>
        <v>0</v>
      </c>
      <c r="AG60" s="44">
        <f t="shared" si="23"/>
        <v>0</v>
      </c>
      <c r="AH60" s="44">
        <f t="shared" si="23"/>
        <v>0</v>
      </c>
      <c r="AI60" s="44">
        <f t="shared" si="23"/>
        <v>0</v>
      </c>
      <c r="AJ60" s="44">
        <f t="shared" si="23"/>
        <v>0</v>
      </c>
      <c r="AK60" s="44">
        <f t="shared" si="23"/>
        <v>0</v>
      </c>
      <c r="AL60" s="44">
        <f t="shared" si="23"/>
        <v>0</v>
      </c>
    </row>
    <row r="61" spans="1:38" x14ac:dyDescent="0.25">
      <c r="A61" s="282">
        <f t="shared" si="19"/>
        <v>0</v>
      </c>
      <c r="B61" s="39">
        <f>+DESP_JANEIRO!B60</f>
        <v>0</v>
      </c>
      <c r="C61" s="39">
        <f>+DESP_JANEIRO!C60</f>
        <v>0</v>
      </c>
      <c r="D61" s="40">
        <f ca="1">+DESP_JANEIRO!F60</f>
        <v>0</v>
      </c>
      <c r="E61" s="41">
        <f t="shared" si="4"/>
        <v>0</v>
      </c>
      <c r="F61" s="42" t="str">
        <f t="shared" si="20"/>
        <v>-</v>
      </c>
      <c r="G61" s="43"/>
      <c r="H61" s="44">
        <f t="shared" si="21"/>
        <v>0</v>
      </c>
      <c r="I61" s="44">
        <f t="shared" si="22"/>
        <v>0</v>
      </c>
      <c r="J61" s="44">
        <f t="shared" si="22"/>
        <v>0</v>
      </c>
      <c r="K61" s="44">
        <f t="shared" si="22"/>
        <v>0</v>
      </c>
      <c r="L61" s="44">
        <f t="shared" si="22"/>
        <v>0</v>
      </c>
      <c r="M61" s="44">
        <f t="shared" si="22"/>
        <v>0</v>
      </c>
      <c r="N61" s="44">
        <f t="shared" si="22"/>
        <v>0</v>
      </c>
      <c r="O61" s="44">
        <f t="shared" si="22"/>
        <v>0</v>
      </c>
      <c r="P61" s="44">
        <f t="shared" si="22"/>
        <v>0</v>
      </c>
      <c r="Q61" s="44">
        <f t="shared" si="22"/>
        <v>0</v>
      </c>
      <c r="R61" s="44">
        <f t="shared" si="22"/>
        <v>0</v>
      </c>
      <c r="S61" s="44">
        <f t="shared" si="22"/>
        <v>0</v>
      </c>
      <c r="T61" s="44">
        <f t="shared" si="22"/>
        <v>0</v>
      </c>
      <c r="U61" s="44">
        <f t="shared" si="22"/>
        <v>0</v>
      </c>
      <c r="V61" s="44">
        <f t="shared" si="22"/>
        <v>0</v>
      </c>
      <c r="W61" s="44">
        <f t="shared" si="22"/>
        <v>0</v>
      </c>
      <c r="X61" s="44">
        <f t="shared" si="23"/>
        <v>0</v>
      </c>
      <c r="Y61" s="44">
        <f t="shared" si="23"/>
        <v>0</v>
      </c>
      <c r="Z61" s="44">
        <f t="shared" si="23"/>
        <v>0</v>
      </c>
      <c r="AA61" s="44">
        <f t="shared" si="23"/>
        <v>0</v>
      </c>
      <c r="AB61" s="44">
        <f t="shared" si="23"/>
        <v>0</v>
      </c>
      <c r="AC61" s="44">
        <f t="shared" si="23"/>
        <v>0</v>
      </c>
      <c r="AD61" s="44">
        <f t="shared" si="23"/>
        <v>0</v>
      </c>
      <c r="AE61" s="44">
        <f t="shared" si="23"/>
        <v>0</v>
      </c>
      <c r="AF61" s="44">
        <f t="shared" si="23"/>
        <v>0</v>
      </c>
      <c r="AG61" s="44">
        <f t="shared" si="23"/>
        <v>0</v>
      </c>
      <c r="AH61" s="44">
        <f t="shared" si="23"/>
        <v>0</v>
      </c>
      <c r="AI61" s="44">
        <f t="shared" si="23"/>
        <v>0</v>
      </c>
      <c r="AJ61" s="44">
        <f t="shared" si="23"/>
        <v>0</v>
      </c>
      <c r="AK61" s="44">
        <f t="shared" si="23"/>
        <v>0</v>
      </c>
      <c r="AL61" s="44">
        <f t="shared" si="23"/>
        <v>0</v>
      </c>
    </row>
    <row r="62" spans="1:38" x14ac:dyDescent="0.25">
      <c r="A62" s="282">
        <f t="shared" si="19"/>
        <v>0</v>
      </c>
      <c r="B62" s="39">
        <f>+DESP_JANEIRO!B61</f>
        <v>0</v>
      </c>
      <c r="C62" s="39">
        <f>+DESP_JANEIRO!C61</f>
        <v>0</v>
      </c>
      <c r="D62" s="40">
        <f ca="1">+DESP_JANEIRO!F61</f>
        <v>0</v>
      </c>
      <c r="E62" s="41">
        <f t="shared" si="4"/>
        <v>0</v>
      </c>
      <c r="F62" s="42" t="str">
        <f t="shared" si="20"/>
        <v>-</v>
      </c>
      <c r="G62" s="43"/>
      <c r="H62" s="44">
        <f t="shared" si="21"/>
        <v>0</v>
      </c>
      <c r="I62" s="44">
        <f t="shared" si="22"/>
        <v>0</v>
      </c>
      <c r="J62" s="44">
        <f t="shared" si="22"/>
        <v>0</v>
      </c>
      <c r="K62" s="44">
        <f t="shared" si="22"/>
        <v>0</v>
      </c>
      <c r="L62" s="44">
        <f t="shared" si="22"/>
        <v>0</v>
      </c>
      <c r="M62" s="44">
        <f t="shared" si="22"/>
        <v>0</v>
      </c>
      <c r="N62" s="44">
        <f t="shared" si="22"/>
        <v>0</v>
      </c>
      <c r="O62" s="44">
        <f t="shared" si="22"/>
        <v>0</v>
      </c>
      <c r="P62" s="44">
        <f t="shared" si="22"/>
        <v>0</v>
      </c>
      <c r="Q62" s="44">
        <f t="shared" si="22"/>
        <v>0</v>
      </c>
      <c r="R62" s="44">
        <f t="shared" si="22"/>
        <v>0</v>
      </c>
      <c r="S62" s="44">
        <f t="shared" si="22"/>
        <v>0</v>
      </c>
      <c r="T62" s="44">
        <f t="shared" si="22"/>
        <v>0</v>
      </c>
      <c r="U62" s="44">
        <f t="shared" si="22"/>
        <v>0</v>
      </c>
      <c r="V62" s="44">
        <f t="shared" si="22"/>
        <v>0</v>
      </c>
      <c r="W62" s="44">
        <f t="shared" ref="W62" si="24">+IF(W$3&gt;$D$2,0,IF($C62=W$3,$B62,0))</f>
        <v>0</v>
      </c>
      <c r="X62" s="44">
        <f t="shared" si="23"/>
        <v>0</v>
      </c>
      <c r="Y62" s="44">
        <f t="shared" si="23"/>
        <v>0</v>
      </c>
      <c r="Z62" s="44">
        <f t="shared" si="23"/>
        <v>0</v>
      </c>
      <c r="AA62" s="44">
        <f t="shared" si="23"/>
        <v>0</v>
      </c>
      <c r="AB62" s="44">
        <f t="shared" si="23"/>
        <v>0</v>
      </c>
      <c r="AC62" s="44">
        <f t="shared" si="23"/>
        <v>0</v>
      </c>
      <c r="AD62" s="44">
        <f t="shared" si="23"/>
        <v>0</v>
      </c>
      <c r="AE62" s="44">
        <f t="shared" si="23"/>
        <v>0</v>
      </c>
      <c r="AF62" s="44">
        <f t="shared" si="23"/>
        <v>0</v>
      </c>
      <c r="AG62" s="44">
        <f t="shared" si="23"/>
        <v>0</v>
      </c>
      <c r="AH62" s="44">
        <f t="shared" si="23"/>
        <v>0</v>
      </c>
      <c r="AI62" s="44">
        <f t="shared" si="23"/>
        <v>0</v>
      </c>
      <c r="AJ62" s="44">
        <f t="shared" si="23"/>
        <v>0</v>
      </c>
      <c r="AK62" s="44">
        <f t="shared" si="23"/>
        <v>0</v>
      </c>
      <c r="AL62" s="44">
        <f t="shared" si="23"/>
        <v>0</v>
      </c>
    </row>
    <row r="63" spans="1:38" x14ac:dyDescent="0.25">
      <c r="A63" s="282">
        <f t="shared" si="19"/>
        <v>0</v>
      </c>
      <c r="B63" s="39">
        <f>+DESP_JANEIRO!B62</f>
        <v>0</v>
      </c>
      <c r="C63" s="39">
        <f>+DESP_JANEIRO!C62</f>
        <v>0</v>
      </c>
      <c r="D63" s="40">
        <f ca="1">+DESP_JANEIRO!F62</f>
        <v>0</v>
      </c>
      <c r="E63" s="41">
        <f t="shared" si="4"/>
        <v>0</v>
      </c>
      <c r="F63" s="42" t="str">
        <f t="shared" si="20"/>
        <v>-</v>
      </c>
      <c r="G63" s="43"/>
      <c r="H63" s="44">
        <f t="shared" si="21"/>
        <v>0</v>
      </c>
      <c r="I63" s="44">
        <f t="shared" ref="I63:W67" si="25">+IF(I$3&gt;$D$2,0,IF($C63=I$3,$B63,0))</f>
        <v>0</v>
      </c>
      <c r="J63" s="44">
        <f t="shared" si="25"/>
        <v>0</v>
      </c>
      <c r="K63" s="44">
        <f t="shared" si="25"/>
        <v>0</v>
      </c>
      <c r="L63" s="44">
        <f t="shared" si="25"/>
        <v>0</v>
      </c>
      <c r="M63" s="44">
        <f t="shared" si="25"/>
        <v>0</v>
      </c>
      <c r="N63" s="44">
        <f t="shared" si="25"/>
        <v>0</v>
      </c>
      <c r="O63" s="44">
        <f t="shared" si="25"/>
        <v>0</v>
      </c>
      <c r="P63" s="44">
        <f t="shared" si="25"/>
        <v>0</v>
      </c>
      <c r="Q63" s="44">
        <f t="shared" si="25"/>
        <v>0</v>
      </c>
      <c r="R63" s="44">
        <f t="shared" si="25"/>
        <v>0</v>
      </c>
      <c r="S63" s="44">
        <f t="shared" si="25"/>
        <v>0</v>
      </c>
      <c r="T63" s="44">
        <f t="shared" si="25"/>
        <v>0</v>
      </c>
      <c r="U63" s="44">
        <f t="shared" si="25"/>
        <v>0</v>
      </c>
      <c r="V63" s="44">
        <f t="shared" si="25"/>
        <v>0</v>
      </c>
      <c r="W63" s="44">
        <f t="shared" si="25"/>
        <v>0</v>
      </c>
      <c r="X63" s="44">
        <f t="shared" si="23"/>
        <v>0</v>
      </c>
      <c r="Y63" s="44">
        <f t="shared" si="23"/>
        <v>0</v>
      </c>
      <c r="Z63" s="44">
        <f t="shared" si="23"/>
        <v>0</v>
      </c>
      <c r="AA63" s="44">
        <f t="shared" si="23"/>
        <v>0</v>
      </c>
      <c r="AB63" s="44">
        <f t="shared" si="23"/>
        <v>0</v>
      </c>
      <c r="AC63" s="44">
        <f t="shared" si="23"/>
        <v>0</v>
      </c>
      <c r="AD63" s="44">
        <f t="shared" si="23"/>
        <v>0</v>
      </c>
      <c r="AE63" s="44">
        <f t="shared" si="23"/>
        <v>0</v>
      </c>
      <c r="AF63" s="44">
        <f t="shared" si="23"/>
        <v>0</v>
      </c>
      <c r="AG63" s="44">
        <f t="shared" si="23"/>
        <v>0</v>
      </c>
      <c r="AH63" s="44">
        <f t="shared" si="23"/>
        <v>0</v>
      </c>
      <c r="AI63" s="44">
        <f t="shared" si="23"/>
        <v>0</v>
      </c>
      <c r="AJ63" s="44">
        <f t="shared" si="23"/>
        <v>0</v>
      </c>
      <c r="AK63" s="44">
        <f t="shared" si="23"/>
        <v>0</v>
      </c>
      <c r="AL63" s="44">
        <f t="shared" si="23"/>
        <v>0</v>
      </c>
    </row>
    <row r="64" spans="1:38" x14ac:dyDescent="0.25">
      <c r="A64" s="282">
        <f t="shared" si="19"/>
        <v>0</v>
      </c>
      <c r="B64" s="39">
        <f>+DESP_JANEIRO!B63</f>
        <v>0</v>
      </c>
      <c r="C64" s="39">
        <f>+DESP_JANEIRO!C63</f>
        <v>0</v>
      </c>
      <c r="D64" s="40">
        <f ca="1">+DESP_JANEIRO!F63</f>
        <v>0</v>
      </c>
      <c r="E64" s="41">
        <f t="shared" si="4"/>
        <v>0</v>
      </c>
      <c r="F64" s="42" t="str">
        <f t="shared" si="20"/>
        <v>-</v>
      </c>
      <c r="G64" s="43"/>
      <c r="H64" s="44">
        <f t="shared" si="21"/>
        <v>0</v>
      </c>
      <c r="I64" s="44">
        <f t="shared" si="25"/>
        <v>0</v>
      </c>
      <c r="J64" s="44">
        <f t="shared" si="25"/>
        <v>0</v>
      </c>
      <c r="K64" s="44">
        <f t="shared" si="25"/>
        <v>0</v>
      </c>
      <c r="L64" s="44">
        <f t="shared" si="25"/>
        <v>0</v>
      </c>
      <c r="M64" s="44">
        <f t="shared" si="25"/>
        <v>0</v>
      </c>
      <c r="N64" s="44">
        <f t="shared" si="25"/>
        <v>0</v>
      </c>
      <c r="O64" s="44">
        <f t="shared" si="25"/>
        <v>0</v>
      </c>
      <c r="P64" s="44">
        <f t="shared" si="25"/>
        <v>0</v>
      </c>
      <c r="Q64" s="44">
        <f t="shared" si="25"/>
        <v>0</v>
      </c>
      <c r="R64" s="44">
        <f t="shared" si="25"/>
        <v>0</v>
      </c>
      <c r="S64" s="44">
        <f t="shared" si="25"/>
        <v>0</v>
      </c>
      <c r="T64" s="44">
        <f t="shared" si="25"/>
        <v>0</v>
      </c>
      <c r="U64" s="44">
        <f t="shared" si="25"/>
        <v>0</v>
      </c>
      <c r="V64" s="44">
        <f t="shared" si="25"/>
        <v>0</v>
      </c>
      <c r="W64" s="44">
        <f t="shared" si="25"/>
        <v>0</v>
      </c>
      <c r="X64" s="44">
        <f t="shared" ref="X64:AL67" si="26">+IF(X$3&gt;$D$2,0,IF($C64=X$3,$B64,0))</f>
        <v>0</v>
      </c>
      <c r="Y64" s="44">
        <f t="shared" si="26"/>
        <v>0</v>
      </c>
      <c r="Z64" s="44">
        <f t="shared" si="26"/>
        <v>0</v>
      </c>
      <c r="AA64" s="44">
        <f t="shared" si="26"/>
        <v>0</v>
      </c>
      <c r="AB64" s="44">
        <f t="shared" si="26"/>
        <v>0</v>
      </c>
      <c r="AC64" s="44">
        <f t="shared" si="26"/>
        <v>0</v>
      </c>
      <c r="AD64" s="44">
        <f t="shared" si="26"/>
        <v>0</v>
      </c>
      <c r="AE64" s="44">
        <f t="shared" si="26"/>
        <v>0</v>
      </c>
      <c r="AF64" s="44">
        <f t="shared" si="26"/>
        <v>0</v>
      </c>
      <c r="AG64" s="44">
        <f t="shared" si="26"/>
        <v>0</v>
      </c>
      <c r="AH64" s="44">
        <f t="shared" si="26"/>
        <v>0</v>
      </c>
      <c r="AI64" s="44">
        <f t="shared" si="26"/>
        <v>0</v>
      </c>
      <c r="AJ64" s="44">
        <f t="shared" si="26"/>
        <v>0</v>
      </c>
      <c r="AK64" s="44">
        <f t="shared" si="26"/>
        <v>0</v>
      </c>
      <c r="AL64" s="44">
        <f t="shared" si="26"/>
        <v>0</v>
      </c>
    </row>
    <row r="65" spans="1:38" x14ac:dyDescent="0.25">
      <c r="A65" s="282">
        <f t="shared" si="19"/>
        <v>0</v>
      </c>
      <c r="B65" s="39">
        <f>+DESP_JANEIRO!B64</f>
        <v>0</v>
      </c>
      <c r="C65" s="39">
        <f>+DESP_JANEIRO!C64</f>
        <v>0</v>
      </c>
      <c r="D65" s="40">
        <f ca="1">+DESP_JANEIRO!F64</f>
        <v>0</v>
      </c>
      <c r="E65" s="41">
        <f t="shared" si="4"/>
        <v>0</v>
      </c>
      <c r="F65" s="42" t="str">
        <f t="shared" si="20"/>
        <v>-</v>
      </c>
      <c r="G65" s="43"/>
      <c r="H65" s="44">
        <f t="shared" si="21"/>
        <v>0</v>
      </c>
      <c r="I65" s="44">
        <f t="shared" si="25"/>
        <v>0</v>
      </c>
      <c r="J65" s="44">
        <f t="shared" si="25"/>
        <v>0</v>
      </c>
      <c r="K65" s="44">
        <f t="shared" si="25"/>
        <v>0</v>
      </c>
      <c r="L65" s="44">
        <f t="shared" si="25"/>
        <v>0</v>
      </c>
      <c r="M65" s="44">
        <f t="shared" si="25"/>
        <v>0</v>
      </c>
      <c r="N65" s="44">
        <f t="shared" si="25"/>
        <v>0</v>
      </c>
      <c r="O65" s="44">
        <f t="shared" si="25"/>
        <v>0</v>
      </c>
      <c r="P65" s="44">
        <f t="shared" si="25"/>
        <v>0</v>
      </c>
      <c r="Q65" s="44">
        <f t="shared" si="25"/>
        <v>0</v>
      </c>
      <c r="R65" s="44">
        <f t="shared" si="25"/>
        <v>0</v>
      </c>
      <c r="S65" s="44">
        <f t="shared" si="25"/>
        <v>0</v>
      </c>
      <c r="T65" s="44">
        <f t="shared" si="25"/>
        <v>0</v>
      </c>
      <c r="U65" s="44">
        <f t="shared" si="25"/>
        <v>0</v>
      </c>
      <c r="V65" s="44">
        <f t="shared" si="25"/>
        <v>0</v>
      </c>
      <c r="W65" s="44">
        <f t="shared" si="25"/>
        <v>0</v>
      </c>
      <c r="X65" s="44">
        <f t="shared" si="26"/>
        <v>0</v>
      </c>
      <c r="Y65" s="44">
        <f t="shared" si="26"/>
        <v>0</v>
      </c>
      <c r="Z65" s="44">
        <f t="shared" si="26"/>
        <v>0</v>
      </c>
      <c r="AA65" s="44">
        <f t="shared" si="26"/>
        <v>0</v>
      </c>
      <c r="AB65" s="44">
        <f t="shared" si="26"/>
        <v>0</v>
      </c>
      <c r="AC65" s="44">
        <f t="shared" si="26"/>
        <v>0</v>
      </c>
      <c r="AD65" s="44">
        <f t="shared" si="26"/>
        <v>0</v>
      </c>
      <c r="AE65" s="44">
        <f t="shared" si="26"/>
        <v>0</v>
      </c>
      <c r="AF65" s="44">
        <f t="shared" si="26"/>
        <v>0</v>
      </c>
      <c r="AG65" s="44">
        <f t="shared" si="26"/>
        <v>0</v>
      </c>
      <c r="AH65" s="44">
        <f t="shared" si="26"/>
        <v>0</v>
      </c>
      <c r="AI65" s="44">
        <f t="shared" si="26"/>
        <v>0</v>
      </c>
      <c r="AJ65" s="44">
        <f t="shared" si="26"/>
        <v>0</v>
      </c>
      <c r="AK65" s="44">
        <f t="shared" si="26"/>
        <v>0</v>
      </c>
      <c r="AL65" s="44">
        <f t="shared" si="26"/>
        <v>0</v>
      </c>
    </row>
    <row r="66" spans="1:38" x14ac:dyDescent="0.25">
      <c r="A66" s="282">
        <f t="shared" si="19"/>
        <v>0</v>
      </c>
      <c r="B66" s="39">
        <f>+DESP_JANEIRO!B65</f>
        <v>0</v>
      </c>
      <c r="C66" s="39">
        <f>+DESP_JANEIRO!C65</f>
        <v>0</v>
      </c>
      <c r="D66" s="40">
        <f ca="1">+DESP_JANEIRO!F65</f>
        <v>0</v>
      </c>
      <c r="E66" s="41">
        <f t="shared" si="4"/>
        <v>0</v>
      </c>
      <c r="F66" s="42" t="str">
        <f t="shared" si="20"/>
        <v>-</v>
      </c>
      <c r="G66" s="43"/>
      <c r="H66" s="44">
        <f t="shared" si="21"/>
        <v>0</v>
      </c>
      <c r="I66" s="44">
        <f t="shared" si="25"/>
        <v>0</v>
      </c>
      <c r="J66" s="44">
        <f t="shared" si="25"/>
        <v>0</v>
      </c>
      <c r="K66" s="44">
        <f t="shared" si="25"/>
        <v>0</v>
      </c>
      <c r="L66" s="44">
        <f t="shared" si="25"/>
        <v>0</v>
      </c>
      <c r="M66" s="44">
        <f t="shared" si="25"/>
        <v>0</v>
      </c>
      <c r="N66" s="44">
        <f t="shared" si="25"/>
        <v>0</v>
      </c>
      <c r="O66" s="44">
        <f t="shared" si="25"/>
        <v>0</v>
      </c>
      <c r="P66" s="44">
        <f t="shared" si="25"/>
        <v>0</v>
      </c>
      <c r="Q66" s="44">
        <f t="shared" si="25"/>
        <v>0</v>
      </c>
      <c r="R66" s="44">
        <f t="shared" si="25"/>
        <v>0</v>
      </c>
      <c r="S66" s="44">
        <f t="shared" si="25"/>
        <v>0</v>
      </c>
      <c r="T66" s="44">
        <f t="shared" si="25"/>
        <v>0</v>
      </c>
      <c r="U66" s="44">
        <f t="shared" si="25"/>
        <v>0</v>
      </c>
      <c r="V66" s="44">
        <f t="shared" si="25"/>
        <v>0</v>
      </c>
      <c r="W66" s="44">
        <f t="shared" si="25"/>
        <v>0</v>
      </c>
      <c r="X66" s="44">
        <f t="shared" si="26"/>
        <v>0</v>
      </c>
      <c r="Y66" s="44">
        <f t="shared" si="26"/>
        <v>0</v>
      </c>
      <c r="Z66" s="44">
        <f t="shared" si="26"/>
        <v>0</v>
      </c>
      <c r="AA66" s="44">
        <f t="shared" si="26"/>
        <v>0</v>
      </c>
      <c r="AB66" s="44">
        <f t="shared" si="26"/>
        <v>0</v>
      </c>
      <c r="AC66" s="44">
        <f t="shared" si="26"/>
        <v>0</v>
      </c>
      <c r="AD66" s="44">
        <f t="shared" si="26"/>
        <v>0</v>
      </c>
      <c r="AE66" s="44">
        <f t="shared" si="26"/>
        <v>0</v>
      </c>
      <c r="AF66" s="44">
        <f t="shared" si="26"/>
        <v>0</v>
      </c>
      <c r="AG66" s="44">
        <f t="shared" si="26"/>
        <v>0</v>
      </c>
      <c r="AH66" s="44">
        <f t="shared" si="26"/>
        <v>0</v>
      </c>
      <c r="AI66" s="44">
        <f t="shared" si="26"/>
        <v>0</v>
      </c>
      <c r="AJ66" s="44">
        <f t="shared" si="26"/>
        <v>0</v>
      </c>
      <c r="AK66" s="44">
        <f t="shared" si="26"/>
        <v>0</v>
      </c>
      <c r="AL66" s="44">
        <f t="shared" si="26"/>
        <v>0</v>
      </c>
    </row>
    <row r="67" spans="1:38" x14ac:dyDescent="0.25">
      <c r="A67" s="282">
        <f t="shared" si="19"/>
        <v>0</v>
      </c>
      <c r="B67" s="39">
        <f>+DESP_JANEIRO!B66</f>
        <v>0</v>
      </c>
      <c r="C67" s="39">
        <f>+DESP_JANEIRO!C66</f>
        <v>0</v>
      </c>
      <c r="D67" s="40">
        <f ca="1">+DESP_JANEIRO!F66</f>
        <v>0</v>
      </c>
      <c r="E67" s="41">
        <f t="shared" si="4"/>
        <v>0</v>
      </c>
      <c r="F67" s="42" t="str">
        <f t="shared" si="20"/>
        <v>-</v>
      </c>
      <c r="G67" s="43"/>
      <c r="H67" s="44">
        <f t="shared" si="21"/>
        <v>0</v>
      </c>
      <c r="I67" s="44">
        <f t="shared" si="25"/>
        <v>0</v>
      </c>
      <c r="J67" s="44">
        <f t="shared" si="25"/>
        <v>0</v>
      </c>
      <c r="K67" s="44">
        <f t="shared" si="25"/>
        <v>0</v>
      </c>
      <c r="L67" s="44">
        <f t="shared" si="25"/>
        <v>0</v>
      </c>
      <c r="M67" s="44">
        <f t="shared" si="25"/>
        <v>0</v>
      </c>
      <c r="N67" s="44">
        <f t="shared" si="25"/>
        <v>0</v>
      </c>
      <c r="O67" s="44">
        <f t="shared" si="25"/>
        <v>0</v>
      </c>
      <c r="P67" s="44">
        <f t="shared" si="25"/>
        <v>0</v>
      </c>
      <c r="Q67" s="44">
        <f t="shared" si="25"/>
        <v>0</v>
      </c>
      <c r="R67" s="44">
        <f t="shared" si="25"/>
        <v>0</v>
      </c>
      <c r="S67" s="44">
        <f t="shared" si="25"/>
        <v>0</v>
      </c>
      <c r="T67" s="44">
        <f t="shared" si="25"/>
        <v>0</v>
      </c>
      <c r="U67" s="44">
        <f t="shared" si="25"/>
        <v>0</v>
      </c>
      <c r="V67" s="44">
        <f t="shared" si="25"/>
        <v>0</v>
      </c>
      <c r="W67" s="44">
        <f t="shared" si="25"/>
        <v>0</v>
      </c>
      <c r="X67" s="44">
        <f t="shared" si="26"/>
        <v>0</v>
      </c>
      <c r="Y67" s="44">
        <f t="shared" si="26"/>
        <v>0</v>
      </c>
      <c r="Z67" s="44">
        <f t="shared" si="26"/>
        <v>0</v>
      </c>
      <c r="AA67" s="44">
        <f t="shared" si="26"/>
        <v>0</v>
      </c>
      <c r="AB67" s="44">
        <f t="shared" si="26"/>
        <v>0</v>
      </c>
      <c r="AC67" s="44">
        <f t="shared" si="26"/>
        <v>0</v>
      </c>
      <c r="AD67" s="44">
        <f t="shared" si="26"/>
        <v>0</v>
      </c>
      <c r="AE67" s="44">
        <f t="shared" si="26"/>
        <v>0</v>
      </c>
      <c r="AF67" s="44">
        <f t="shared" si="26"/>
        <v>0</v>
      </c>
      <c r="AG67" s="44">
        <f t="shared" si="26"/>
        <v>0</v>
      </c>
      <c r="AH67" s="44">
        <f t="shared" si="26"/>
        <v>0</v>
      </c>
      <c r="AI67" s="44">
        <f t="shared" si="26"/>
        <v>0</v>
      </c>
      <c r="AJ67" s="44">
        <f t="shared" si="26"/>
        <v>0</v>
      </c>
      <c r="AK67" s="44">
        <f t="shared" si="26"/>
        <v>0</v>
      </c>
      <c r="AL67" s="44">
        <f t="shared" si="26"/>
        <v>0</v>
      </c>
    </row>
    <row r="68" spans="1:38" x14ac:dyDescent="0.25">
      <c r="A68" s="45" t="s">
        <v>11</v>
      </c>
      <c r="B68" s="46">
        <f>+SUM(B47:B67)</f>
        <v>1000</v>
      </c>
      <c r="C68" s="46"/>
      <c r="D68" s="46">
        <f ca="1">+SUM(D47:D67)</f>
        <v>500</v>
      </c>
      <c r="E68" s="46">
        <f>+SUM(E47:E67)</f>
        <v>1000</v>
      </c>
      <c r="F68" s="48">
        <f t="shared" si="20"/>
        <v>1</v>
      </c>
      <c r="G68" s="21"/>
      <c r="H68" s="46">
        <f>+SUM(H47:H67)</f>
        <v>0</v>
      </c>
      <c r="I68" s="46">
        <f t="shared" ref="I68:AL68" si="27">+SUM(I47:I67)</f>
        <v>500</v>
      </c>
      <c r="J68" s="46">
        <f t="shared" si="27"/>
        <v>0</v>
      </c>
      <c r="K68" s="46">
        <f t="shared" si="27"/>
        <v>0</v>
      </c>
      <c r="L68" s="46">
        <f t="shared" si="27"/>
        <v>0</v>
      </c>
      <c r="M68" s="46">
        <f t="shared" si="27"/>
        <v>0</v>
      </c>
      <c r="N68" s="46">
        <f t="shared" si="27"/>
        <v>0</v>
      </c>
      <c r="O68" s="46">
        <f t="shared" si="27"/>
        <v>0</v>
      </c>
      <c r="P68" s="46">
        <f t="shared" si="27"/>
        <v>0</v>
      </c>
      <c r="Q68" s="46">
        <f t="shared" si="27"/>
        <v>0</v>
      </c>
      <c r="R68" s="46">
        <f t="shared" si="27"/>
        <v>0</v>
      </c>
      <c r="S68" s="46">
        <f t="shared" si="27"/>
        <v>0</v>
      </c>
      <c r="T68" s="46">
        <f t="shared" si="27"/>
        <v>0</v>
      </c>
      <c r="U68" s="46">
        <f t="shared" si="27"/>
        <v>0</v>
      </c>
      <c r="V68" s="46">
        <f t="shared" si="27"/>
        <v>500</v>
      </c>
      <c r="W68" s="46">
        <f t="shared" si="27"/>
        <v>0</v>
      </c>
      <c r="X68" s="46">
        <f t="shared" si="27"/>
        <v>0</v>
      </c>
      <c r="Y68" s="46">
        <f t="shared" si="27"/>
        <v>0</v>
      </c>
      <c r="Z68" s="46">
        <f t="shared" si="27"/>
        <v>0</v>
      </c>
      <c r="AA68" s="46">
        <f t="shared" si="27"/>
        <v>0</v>
      </c>
      <c r="AB68" s="46">
        <f t="shared" si="27"/>
        <v>0</v>
      </c>
      <c r="AC68" s="46">
        <f t="shared" si="27"/>
        <v>0</v>
      </c>
      <c r="AD68" s="46">
        <f t="shared" si="27"/>
        <v>0</v>
      </c>
      <c r="AE68" s="46">
        <f t="shared" si="27"/>
        <v>0</v>
      </c>
      <c r="AF68" s="46">
        <f t="shared" si="27"/>
        <v>0</v>
      </c>
      <c r="AG68" s="46">
        <f t="shared" si="27"/>
        <v>0</v>
      </c>
      <c r="AH68" s="46">
        <f t="shared" si="27"/>
        <v>0</v>
      </c>
      <c r="AI68" s="46">
        <f t="shared" si="27"/>
        <v>0</v>
      </c>
      <c r="AJ68" s="46">
        <f t="shared" si="27"/>
        <v>0</v>
      </c>
      <c r="AK68" s="46">
        <f t="shared" si="27"/>
        <v>0</v>
      </c>
      <c r="AL68" s="46">
        <f t="shared" si="27"/>
        <v>0</v>
      </c>
    </row>
    <row r="69" spans="1:38" x14ac:dyDescent="0.25">
      <c r="A69" s="37"/>
      <c r="B69" s="52"/>
      <c r="C69" s="51"/>
      <c r="D69" s="51"/>
      <c r="E69" s="52"/>
      <c r="F69" s="54"/>
      <c r="G69" s="35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</row>
    <row r="70" spans="1:38" x14ac:dyDescent="0.25">
      <c r="A70" s="282">
        <f t="shared" ref="A70:A89" si="28">+SUM(H70:AL70)-B70</f>
        <v>0</v>
      </c>
      <c r="B70" s="39">
        <f>+DESP_JANEIRO!B69</f>
        <v>0</v>
      </c>
      <c r="C70" s="39">
        <f>+DESP_JANEIRO!C69</f>
        <v>0</v>
      </c>
      <c r="D70" s="40">
        <f ca="1">+DESP_JANEIRO!F69</f>
        <v>0</v>
      </c>
      <c r="E70" s="41">
        <f t="shared" si="4"/>
        <v>0</v>
      </c>
      <c r="F70" s="42" t="str">
        <f t="shared" ref="F70:F90" si="29">+IF(B70=0,"-",E70/B70)</f>
        <v>-</v>
      </c>
      <c r="G70" s="43"/>
      <c r="H70" s="44">
        <f t="shared" ref="H70:H89" si="30">+IF(H$3&gt;$D$2,0,IF(OR(C70=-1,C70=H$3),$B70,0))</f>
        <v>0</v>
      </c>
      <c r="I70" s="44">
        <f t="shared" ref="I70:W85" si="31">+IF(I$3&gt;$D$2,0,IF($C70=I$3,$B70,0))</f>
        <v>0</v>
      </c>
      <c r="J70" s="44">
        <f t="shared" si="31"/>
        <v>0</v>
      </c>
      <c r="K70" s="44">
        <f t="shared" si="31"/>
        <v>0</v>
      </c>
      <c r="L70" s="44">
        <f t="shared" si="31"/>
        <v>0</v>
      </c>
      <c r="M70" s="44">
        <f t="shared" si="31"/>
        <v>0</v>
      </c>
      <c r="N70" s="44">
        <f t="shared" si="31"/>
        <v>0</v>
      </c>
      <c r="O70" s="44">
        <f t="shared" si="31"/>
        <v>0</v>
      </c>
      <c r="P70" s="44">
        <f t="shared" si="31"/>
        <v>0</v>
      </c>
      <c r="Q70" s="44">
        <f t="shared" si="31"/>
        <v>0</v>
      </c>
      <c r="R70" s="44">
        <f t="shared" si="31"/>
        <v>0</v>
      </c>
      <c r="S70" s="44">
        <f t="shared" si="31"/>
        <v>0</v>
      </c>
      <c r="T70" s="44">
        <f t="shared" si="31"/>
        <v>0</v>
      </c>
      <c r="U70" s="44">
        <f t="shared" si="31"/>
        <v>0</v>
      </c>
      <c r="V70" s="44">
        <f t="shared" si="31"/>
        <v>0</v>
      </c>
      <c r="W70" s="44">
        <f t="shared" si="31"/>
        <v>0</v>
      </c>
      <c r="X70" s="44">
        <f t="shared" ref="X70:AL86" si="32">+IF(X$3&gt;$D$2,0,IF($C70=X$3,$B70,0))</f>
        <v>0</v>
      </c>
      <c r="Y70" s="44">
        <f t="shared" si="32"/>
        <v>0</v>
      </c>
      <c r="Z70" s="44">
        <f t="shared" si="32"/>
        <v>0</v>
      </c>
      <c r="AA70" s="44">
        <f t="shared" si="32"/>
        <v>0</v>
      </c>
      <c r="AB70" s="44">
        <f t="shared" si="32"/>
        <v>0</v>
      </c>
      <c r="AC70" s="44">
        <f t="shared" si="32"/>
        <v>0</v>
      </c>
      <c r="AD70" s="44">
        <f t="shared" si="32"/>
        <v>0</v>
      </c>
      <c r="AE70" s="44">
        <f t="shared" si="32"/>
        <v>0</v>
      </c>
      <c r="AF70" s="44">
        <f t="shared" si="32"/>
        <v>0</v>
      </c>
      <c r="AG70" s="44">
        <f t="shared" si="32"/>
        <v>0</v>
      </c>
      <c r="AH70" s="44">
        <f t="shared" si="32"/>
        <v>0</v>
      </c>
      <c r="AI70" s="44">
        <f t="shared" si="32"/>
        <v>0</v>
      </c>
      <c r="AJ70" s="44">
        <f t="shared" si="32"/>
        <v>0</v>
      </c>
      <c r="AK70" s="44">
        <f t="shared" si="32"/>
        <v>0</v>
      </c>
      <c r="AL70" s="44">
        <f t="shared" si="32"/>
        <v>0</v>
      </c>
    </row>
    <row r="71" spans="1:38" x14ac:dyDescent="0.25">
      <c r="A71" s="282">
        <f t="shared" si="28"/>
        <v>0</v>
      </c>
      <c r="B71" s="39">
        <f>+DESP_JANEIRO!B70</f>
        <v>524.07000000000005</v>
      </c>
      <c r="C71" s="39">
        <f>+DESP_JANEIRO!C70</f>
        <v>27</v>
      </c>
      <c r="D71" s="40">
        <f ca="1">+DESP_JANEIRO!F70</f>
        <v>0</v>
      </c>
      <c r="E71" s="41">
        <f t="shared" si="4"/>
        <v>524.07000000000005</v>
      </c>
      <c r="F71" s="42">
        <f t="shared" si="29"/>
        <v>1</v>
      </c>
      <c r="G71" s="43"/>
      <c r="H71" s="44">
        <f t="shared" si="30"/>
        <v>0</v>
      </c>
      <c r="I71" s="44">
        <f t="shared" si="31"/>
        <v>0</v>
      </c>
      <c r="J71" s="44">
        <f t="shared" si="31"/>
        <v>0</v>
      </c>
      <c r="K71" s="44">
        <f t="shared" si="31"/>
        <v>0</v>
      </c>
      <c r="L71" s="44">
        <f t="shared" si="31"/>
        <v>0</v>
      </c>
      <c r="M71" s="44">
        <f t="shared" si="31"/>
        <v>0</v>
      </c>
      <c r="N71" s="44">
        <f t="shared" si="31"/>
        <v>0</v>
      </c>
      <c r="O71" s="44">
        <f t="shared" si="31"/>
        <v>0</v>
      </c>
      <c r="P71" s="44">
        <f t="shared" si="31"/>
        <v>0</v>
      </c>
      <c r="Q71" s="44">
        <f t="shared" si="31"/>
        <v>0</v>
      </c>
      <c r="R71" s="44">
        <f t="shared" si="31"/>
        <v>0</v>
      </c>
      <c r="S71" s="44">
        <f t="shared" si="31"/>
        <v>0</v>
      </c>
      <c r="T71" s="44">
        <f t="shared" si="31"/>
        <v>0</v>
      </c>
      <c r="U71" s="44">
        <f t="shared" si="31"/>
        <v>0</v>
      </c>
      <c r="V71" s="44">
        <f t="shared" si="31"/>
        <v>0</v>
      </c>
      <c r="W71" s="44">
        <f t="shared" si="31"/>
        <v>0</v>
      </c>
      <c r="X71" s="44">
        <f t="shared" si="32"/>
        <v>0</v>
      </c>
      <c r="Y71" s="44">
        <f t="shared" si="32"/>
        <v>0</v>
      </c>
      <c r="Z71" s="44">
        <f t="shared" si="32"/>
        <v>0</v>
      </c>
      <c r="AA71" s="44">
        <f t="shared" si="32"/>
        <v>0</v>
      </c>
      <c r="AB71" s="44">
        <f t="shared" si="32"/>
        <v>0</v>
      </c>
      <c r="AC71" s="44">
        <f t="shared" si="32"/>
        <v>0</v>
      </c>
      <c r="AD71" s="44">
        <f t="shared" si="32"/>
        <v>0</v>
      </c>
      <c r="AE71" s="44">
        <f t="shared" si="32"/>
        <v>0</v>
      </c>
      <c r="AF71" s="44">
        <f t="shared" si="32"/>
        <v>0</v>
      </c>
      <c r="AG71" s="44">
        <f t="shared" si="32"/>
        <v>0</v>
      </c>
      <c r="AH71" s="44">
        <f t="shared" si="32"/>
        <v>524.07000000000005</v>
      </c>
      <c r="AI71" s="44">
        <f t="shared" si="32"/>
        <v>0</v>
      </c>
      <c r="AJ71" s="44">
        <f t="shared" si="32"/>
        <v>0</v>
      </c>
      <c r="AK71" s="44">
        <f t="shared" si="32"/>
        <v>0</v>
      </c>
      <c r="AL71" s="44">
        <f t="shared" si="32"/>
        <v>0</v>
      </c>
    </row>
    <row r="72" spans="1:38" x14ac:dyDescent="0.25">
      <c r="A72" s="282">
        <f t="shared" si="28"/>
        <v>0</v>
      </c>
      <c r="B72" s="39">
        <f>+DESP_JANEIRO!B71</f>
        <v>1504.62</v>
      </c>
      <c r="C72" s="39">
        <f>+DESP_JANEIRO!C71</f>
        <v>10</v>
      </c>
      <c r="D72" s="40">
        <f ca="1">+DESP_JANEIRO!F71</f>
        <v>1504.62</v>
      </c>
      <c r="E72" s="41">
        <f t="shared" si="4"/>
        <v>1504.62</v>
      </c>
      <c r="F72" s="42">
        <f t="shared" si="29"/>
        <v>1</v>
      </c>
      <c r="G72" s="43"/>
      <c r="H72" s="44">
        <f t="shared" si="30"/>
        <v>0</v>
      </c>
      <c r="I72" s="44">
        <f t="shared" si="31"/>
        <v>0</v>
      </c>
      <c r="J72" s="44">
        <f t="shared" si="31"/>
        <v>0</v>
      </c>
      <c r="K72" s="44">
        <f t="shared" si="31"/>
        <v>0</v>
      </c>
      <c r="L72" s="44">
        <f t="shared" si="31"/>
        <v>0</v>
      </c>
      <c r="M72" s="44">
        <f t="shared" si="31"/>
        <v>0</v>
      </c>
      <c r="N72" s="44">
        <f t="shared" si="31"/>
        <v>0</v>
      </c>
      <c r="O72" s="44">
        <f t="shared" si="31"/>
        <v>0</v>
      </c>
      <c r="P72" s="44">
        <f t="shared" si="31"/>
        <v>0</v>
      </c>
      <c r="Q72" s="44">
        <f t="shared" si="31"/>
        <v>1504.62</v>
      </c>
      <c r="R72" s="44">
        <f t="shared" si="31"/>
        <v>0</v>
      </c>
      <c r="S72" s="44">
        <f t="shared" si="31"/>
        <v>0</v>
      </c>
      <c r="T72" s="44">
        <f t="shared" si="31"/>
        <v>0</v>
      </c>
      <c r="U72" s="44">
        <f t="shared" si="31"/>
        <v>0</v>
      </c>
      <c r="V72" s="44">
        <f t="shared" si="31"/>
        <v>0</v>
      </c>
      <c r="W72" s="44">
        <f t="shared" si="31"/>
        <v>0</v>
      </c>
      <c r="X72" s="44">
        <f t="shared" si="32"/>
        <v>0</v>
      </c>
      <c r="Y72" s="44">
        <f t="shared" si="32"/>
        <v>0</v>
      </c>
      <c r="Z72" s="44">
        <f t="shared" si="32"/>
        <v>0</v>
      </c>
      <c r="AA72" s="44">
        <f t="shared" si="32"/>
        <v>0</v>
      </c>
      <c r="AB72" s="44">
        <f t="shared" si="32"/>
        <v>0</v>
      </c>
      <c r="AC72" s="44">
        <f t="shared" si="32"/>
        <v>0</v>
      </c>
      <c r="AD72" s="44">
        <f t="shared" si="32"/>
        <v>0</v>
      </c>
      <c r="AE72" s="44">
        <f t="shared" si="32"/>
        <v>0</v>
      </c>
      <c r="AF72" s="44">
        <f t="shared" si="32"/>
        <v>0</v>
      </c>
      <c r="AG72" s="44">
        <f t="shared" si="32"/>
        <v>0</v>
      </c>
      <c r="AH72" s="44">
        <f t="shared" si="32"/>
        <v>0</v>
      </c>
      <c r="AI72" s="44">
        <f t="shared" si="32"/>
        <v>0</v>
      </c>
      <c r="AJ72" s="44">
        <f t="shared" si="32"/>
        <v>0</v>
      </c>
      <c r="AK72" s="44">
        <f t="shared" si="32"/>
        <v>0</v>
      </c>
      <c r="AL72" s="44">
        <f t="shared" si="32"/>
        <v>0</v>
      </c>
    </row>
    <row r="73" spans="1:38" x14ac:dyDescent="0.25">
      <c r="A73" s="282">
        <f t="shared" si="28"/>
        <v>-6000</v>
      </c>
      <c r="B73" s="39">
        <f>+DESP_JANEIRO!B72</f>
        <v>6000</v>
      </c>
      <c r="C73" s="39">
        <f>+DESP_JANEIRO!C72</f>
        <v>0</v>
      </c>
      <c r="D73" s="40">
        <f ca="1">+DESP_JANEIRO!F72</f>
        <v>0</v>
      </c>
      <c r="E73" s="41">
        <f t="shared" si="4"/>
        <v>0</v>
      </c>
      <c r="F73" s="42">
        <f t="shared" si="29"/>
        <v>0</v>
      </c>
      <c r="G73" s="43"/>
      <c r="H73" s="44">
        <f t="shared" si="30"/>
        <v>0</v>
      </c>
      <c r="I73" s="44">
        <f t="shared" si="31"/>
        <v>0</v>
      </c>
      <c r="J73" s="44">
        <f t="shared" si="31"/>
        <v>0</v>
      </c>
      <c r="K73" s="44">
        <f t="shared" si="31"/>
        <v>0</v>
      </c>
      <c r="L73" s="44">
        <f t="shared" si="31"/>
        <v>0</v>
      </c>
      <c r="M73" s="44">
        <f t="shared" si="31"/>
        <v>0</v>
      </c>
      <c r="N73" s="44">
        <f t="shared" si="31"/>
        <v>0</v>
      </c>
      <c r="O73" s="44">
        <f t="shared" si="31"/>
        <v>0</v>
      </c>
      <c r="P73" s="44">
        <f t="shared" si="31"/>
        <v>0</v>
      </c>
      <c r="Q73" s="44">
        <f t="shared" si="31"/>
        <v>0</v>
      </c>
      <c r="R73" s="44">
        <f t="shared" si="31"/>
        <v>0</v>
      </c>
      <c r="S73" s="44">
        <f t="shared" si="31"/>
        <v>0</v>
      </c>
      <c r="T73" s="44">
        <f t="shared" si="31"/>
        <v>0</v>
      </c>
      <c r="U73" s="44">
        <f t="shared" si="31"/>
        <v>0</v>
      </c>
      <c r="V73" s="44">
        <f t="shared" si="31"/>
        <v>0</v>
      </c>
      <c r="W73" s="44">
        <f t="shared" si="31"/>
        <v>0</v>
      </c>
      <c r="X73" s="44">
        <f t="shared" si="32"/>
        <v>0</v>
      </c>
      <c r="Y73" s="44">
        <f t="shared" si="32"/>
        <v>0</v>
      </c>
      <c r="Z73" s="44">
        <f t="shared" si="32"/>
        <v>0</v>
      </c>
      <c r="AA73" s="44">
        <f t="shared" si="32"/>
        <v>0</v>
      </c>
      <c r="AB73" s="44">
        <f t="shared" si="32"/>
        <v>0</v>
      </c>
      <c r="AC73" s="44">
        <f t="shared" si="32"/>
        <v>0</v>
      </c>
      <c r="AD73" s="44">
        <f t="shared" si="32"/>
        <v>0</v>
      </c>
      <c r="AE73" s="44">
        <f t="shared" si="32"/>
        <v>0</v>
      </c>
      <c r="AF73" s="44">
        <f t="shared" si="32"/>
        <v>0</v>
      </c>
      <c r="AG73" s="44">
        <f t="shared" si="32"/>
        <v>0</v>
      </c>
      <c r="AH73" s="44">
        <f t="shared" si="32"/>
        <v>0</v>
      </c>
      <c r="AI73" s="44">
        <f t="shared" si="32"/>
        <v>0</v>
      </c>
      <c r="AJ73" s="44">
        <f t="shared" si="32"/>
        <v>0</v>
      </c>
      <c r="AK73" s="44">
        <f t="shared" si="32"/>
        <v>0</v>
      </c>
      <c r="AL73" s="44">
        <f t="shared" si="32"/>
        <v>0</v>
      </c>
    </row>
    <row r="74" spans="1:38" x14ac:dyDescent="0.25">
      <c r="A74" s="282">
        <f t="shared" si="28"/>
        <v>-3500</v>
      </c>
      <c r="B74" s="39">
        <f>+DESP_JANEIRO!B73</f>
        <v>3500</v>
      </c>
      <c r="C74" s="39">
        <f>+DESP_JANEIRO!C73</f>
        <v>0</v>
      </c>
      <c r="D74" s="40">
        <f ca="1">+DESP_JANEIRO!F73</f>
        <v>0</v>
      </c>
      <c r="E74" s="41">
        <f t="shared" si="4"/>
        <v>0</v>
      </c>
      <c r="F74" s="42">
        <f t="shared" si="29"/>
        <v>0</v>
      </c>
      <c r="G74" s="43"/>
      <c r="H74" s="44">
        <f t="shared" si="30"/>
        <v>0</v>
      </c>
      <c r="I74" s="44">
        <f t="shared" si="31"/>
        <v>0</v>
      </c>
      <c r="J74" s="44">
        <f t="shared" si="31"/>
        <v>0</v>
      </c>
      <c r="K74" s="44">
        <f t="shared" si="31"/>
        <v>0</v>
      </c>
      <c r="L74" s="44">
        <f t="shared" si="31"/>
        <v>0</v>
      </c>
      <c r="M74" s="44">
        <f t="shared" si="31"/>
        <v>0</v>
      </c>
      <c r="N74" s="44">
        <f t="shared" si="31"/>
        <v>0</v>
      </c>
      <c r="O74" s="44">
        <f t="shared" si="31"/>
        <v>0</v>
      </c>
      <c r="P74" s="44">
        <f t="shared" si="31"/>
        <v>0</v>
      </c>
      <c r="Q74" s="44">
        <f t="shared" si="31"/>
        <v>0</v>
      </c>
      <c r="R74" s="44">
        <f t="shared" si="31"/>
        <v>0</v>
      </c>
      <c r="S74" s="44">
        <f t="shared" si="31"/>
        <v>0</v>
      </c>
      <c r="T74" s="44">
        <f t="shared" si="31"/>
        <v>0</v>
      </c>
      <c r="U74" s="44">
        <f t="shared" si="31"/>
        <v>0</v>
      </c>
      <c r="V74" s="44">
        <f t="shared" si="31"/>
        <v>0</v>
      </c>
      <c r="W74" s="44">
        <f t="shared" si="31"/>
        <v>0</v>
      </c>
      <c r="X74" s="44">
        <f t="shared" si="32"/>
        <v>0</v>
      </c>
      <c r="Y74" s="44">
        <f t="shared" si="32"/>
        <v>0</v>
      </c>
      <c r="Z74" s="44">
        <f t="shared" si="32"/>
        <v>0</v>
      </c>
      <c r="AA74" s="44">
        <f t="shared" si="32"/>
        <v>0</v>
      </c>
      <c r="AB74" s="44">
        <f t="shared" si="32"/>
        <v>0</v>
      </c>
      <c r="AC74" s="44">
        <f t="shared" si="32"/>
        <v>0</v>
      </c>
      <c r="AD74" s="44">
        <f t="shared" si="32"/>
        <v>0</v>
      </c>
      <c r="AE74" s="44">
        <f t="shared" si="32"/>
        <v>0</v>
      </c>
      <c r="AF74" s="44">
        <f t="shared" si="32"/>
        <v>0</v>
      </c>
      <c r="AG74" s="44">
        <f t="shared" si="32"/>
        <v>0</v>
      </c>
      <c r="AH74" s="44">
        <f t="shared" si="32"/>
        <v>0</v>
      </c>
      <c r="AI74" s="44">
        <f t="shared" si="32"/>
        <v>0</v>
      </c>
      <c r="AJ74" s="44">
        <f t="shared" si="32"/>
        <v>0</v>
      </c>
      <c r="AK74" s="44">
        <f t="shared" si="32"/>
        <v>0</v>
      </c>
      <c r="AL74" s="44">
        <f t="shared" si="32"/>
        <v>0</v>
      </c>
    </row>
    <row r="75" spans="1:38" x14ac:dyDescent="0.25">
      <c r="A75" s="282">
        <f t="shared" si="28"/>
        <v>0</v>
      </c>
      <c r="B75" s="39">
        <f>+DESP_JANEIRO!B74</f>
        <v>2203.91</v>
      </c>
      <c r="C75" s="39">
        <f>+DESP_JANEIRO!C74</f>
        <v>-1</v>
      </c>
      <c r="D75" s="40">
        <f ca="1">+DESP_JANEIRO!F74</f>
        <v>2203.91</v>
      </c>
      <c r="E75" s="41">
        <f t="shared" si="4"/>
        <v>2203.91</v>
      </c>
      <c r="F75" s="42">
        <f t="shared" si="29"/>
        <v>1</v>
      </c>
      <c r="G75" s="43"/>
      <c r="H75" s="44">
        <f t="shared" si="30"/>
        <v>2203.91</v>
      </c>
      <c r="I75" s="44">
        <f t="shared" si="31"/>
        <v>0</v>
      </c>
      <c r="J75" s="44">
        <f t="shared" si="31"/>
        <v>0</v>
      </c>
      <c r="K75" s="44">
        <f t="shared" si="31"/>
        <v>0</v>
      </c>
      <c r="L75" s="44">
        <f t="shared" si="31"/>
        <v>0</v>
      </c>
      <c r="M75" s="44">
        <f t="shared" si="31"/>
        <v>0</v>
      </c>
      <c r="N75" s="44">
        <f t="shared" si="31"/>
        <v>0</v>
      </c>
      <c r="O75" s="44">
        <f t="shared" si="31"/>
        <v>0</v>
      </c>
      <c r="P75" s="44">
        <f t="shared" si="31"/>
        <v>0</v>
      </c>
      <c r="Q75" s="44">
        <f t="shared" si="31"/>
        <v>0</v>
      </c>
      <c r="R75" s="44">
        <f t="shared" si="31"/>
        <v>0</v>
      </c>
      <c r="S75" s="44">
        <f t="shared" si="31"/>
        <v>0</v>
      </c>
      <c r="T75" s="44">
        <f t="shared" si="31"/>
        <v>0</v>
      </c>
      <c r="U75" s="44">
        <f t="shared" si="31"/>
        <v>0</v>
      </c>
      <c r="V75" s="44">
        <f t="shared" si="31"/>
        <v>0</v>
      </c>
      <c r="W75" s="44">
        <f t="shared" si="31"/>
        <v>0</v>
      </c>
      <c r="X75" s="44">
        <f t="shared" si="32"/>
        <v>0</v>
      </c>
      <c r="Y75" s="44">
        <f t="shared" si="32"/>
        <v>0</v>
      </c>
      <c r="Z75" s="44">
        <f t="shared" si="32"/>
        <v>0</v>
      </c>
      <c r="AA75" s="44">
        <f t="shared" si="32"/>
        <v>0</v>
      </c>
      <c r="AB75" s="44">
        <f t="shared" si="32"/>
        <v>0</v>
      </c>
      <c r="AC75" s="44">
        <f t="shared" si="32"/>
        <v>0</v>
      </c>
      <c r="AD75" s="44">
        <f t="shared" si="32"/>
        <v>0</v>
      </c>
      <c r="AE75" s="44">
        <f t="shared" si="32"/>
        <v>0</v>
      </c>
      <c r="AF75" s="44">
        <f t="shared" si="32"/>
        <v>0</v>
      </c>
      <c r="AG75" s="44">
        <f t="shared" si="32"/>
        <v>0</v>
      </c>
      <c r="AH75" s="44">
        <f t="shared" si="32"/>
        <v>0</v>
      </c>
      <c r="AI75" s="44">
        <f t="shared" si="32"/>
        <v>0</v>
      </c>
      <c r="AJ75" s="44">
        <f t="shared" si="32"/>
        <v>0</v>
      </c>
      <c r="AK75" s="44">
        <f t="shared" si="32"/>
        <v>0</v>
      </c>
      <c r="AL75" s="44">
        <f t="shared" si="32"/>
        <v>0</v>
      </c>
    </row>
    <row r="76" spans="1:38" x14ac:dyDescent="0.25">
      <c r="A76" s="282">
        <f t="shared" si="28"/>
        <v>-2200</v>
      </c>
      <c r="B76" s="39">
        <f>+DESP_JANEIRO!B75</f>
        <v>2200</v>
      </c>
      <c r="C76" s="39">
        <f>+DESP_JANEIRO!C75</f>
        <v>0</v>
      </c>
      <c r="D76" s="40">
        <f ca="1">+DESP_JANEIRO!F75</f>
        <v>0</v>
      </c>
      <c r="E76" s="41">
        <f t="shared" si="4"/>
        <v>0</v>
      </c>
      <c r="F76" s="42">
        <f t="shared" si="29"/>
        <v>0</v>
      </c>
      <c r="G76" s="43"/>
      <c r="H76" s="44">
        <f t="shared" si="30"/>
        <v>0</v>
      </c>
      <c r="I76" s="44">
        <f t="shared" si="31"/>
        <v>0</v>
      </c>
      <c r="J76" s="44">
        <f t="shared" si="31"/>
        <v>0</v>
      </c>
      <c r="K76" s="44">
        <f t="shared" si="31"/>
        <v>0</v>
      </c>
      <c r="L76" s="44">
        <f t="shared" si="31"/>
        <v>0</v>
      </c>
      <c r="M76" s="44">
        <f t="shared" si="31"/>
        <v>0</v>
      </c>
      <c r="N76" s="44">
        <f t="shared" si="31"/>
        <v>0</v>
      </c>
      <c r="O76" s="44">
        <f t="shared" si="31"/>
        <v>0</v>
      </c>
      <c r="P76" s="44">
        <f t="shared" si="31"/>
        <v>0</v>
      </c>
      <c r="Q76" s="44">
        <f t="shared" si="31"/>
        <v>0</v>
      </c>
      <c r="R76" s="44">
        <f t="shared" si="31"/>
        <v>0</v>
      </c>
      <c r="S76" s="44">
        <f t="shared" si="31"/>
        <v>0</v>
      </c>
      <c r="T76" s="44">
        <f t="shared" si="31"/>
        <v>0</v>
      </c>
      <c r="U76" s="44">
        <f t="shared" si="31"/>
        <v>0</v>
      </c>
      <c r="V76" s="44">
        <f t="shared" si="31"/>
        <v>0</v>
      </c>
      <c r="W76" s="44">
        <f t="shared" si="31"/>
        <v>0</v>
      </c>
      <c r="X76" s="44">
        <f t="shared" si="32"/>
        <v>0</v>
      </c>
      <c r="Y76" s="44">
        <f t="shared" si="32"/>
        <v>0</v>
      </c>
      <c r="Z76" s="44">
        <f t="shared" si="32"/>
        <v>0</v>
      </c>
      <c r="AA76" s="44">
        <f t="shared" si="32"/>
        <v>0</v>
      </c>
      <c r="AB76" s="44">
        <f t="shared" si="32"/>
        <v>0</v>
      </c>
      <c r="AC76" s="44">
        <f t="shared" si="32"/>
        <v>0</v>
      </c>
      <c r="AD76" s="44">
        <f t="shared" si="32"/>
        <v>0</v>
      </c>
      <c r="AE76" s="44">
        <f t="shared" si="32"/>
        <v>0</v>
      </c>
      <c r="AF76" s="44">
        <f t="shared" si="32"/>
        <v>0</v>
      </c>
      <c r="AG76" s="44">
        <f t="shared" si="32"/>
        <v>0</v>
      </c>
      <c r="AH76" s="44">
        <f t="shared" si="32"/>
        <v>0</v>
      </c>
      <c r="AI76" s="44">
        <f t="shared" si="32"/>
        <v>0</v>
      </c>
      <c r="AJ76" s="44">
        <f t="shared" si="32"/>
        <v>0</v>
      </c>
      <c r="AK76" s="44">
        <f t="shared" si="32"/>
        <v>0</v>
      </c>
      <c r="AL76" s="44">
        <f t="shared" si="32"/>
        <v>0</v>
      </c>
    </row>
    <row r="77" spans="1:38" x14ac:dyDescent="0.25">
      <c r="A77" s="282">
        <f t="shared" si="28"/>
        <v>0</v>
      </c>
      <c r="B77" s="39">
        <f>+DESP_JANEIRO!B76</f>
        <v>220</v>
      </c>
      <c r="C77" s="39">
        <f>+DESP_JANEIRO!C76</f>
        <v>15</v>
      </c>
      <c r="D77" s="40">
        <f ca="1">+DESP_JANEIRO!F76</f>
        <v>0</v>
      </c>
      <c r="E77" s="41">
        <f t="shared" si="4"/>
        <v>220</v>
      </c>
      <c r="F77" s="42">
        <f t="shared" si="29"/>
        <v>1</v>
      </c>
      <c r="G77" s="43"/>
      <c r="H77" s="44">
        <f t="shared" si="30"/>
        <v>0</v>
      </c>
      <c r="I77" s="44">
        <f t="shared" si="31"/>
        <v>0</v>
      </c>
      <c r="J77" s="44">
        <f t="shared" si="31"/>
        <v>0</v>
      </c>
      <c r="K77" s="44">
        <f t="shared" si="31"/>
        <v>0</v>
      </c>
      <c r="L77" s="44">
        <f t="shared" si="31"/>
        <v>0</v>
      </c>
      <c r="M77" s="44">
        <f t="shared" si="31"/>
        <v>0</v>
      </c>
      <c r="N77" s="44">
        <f t="shared" si="31"/>
        <v>0</v>
      </c>
      <c r="O77" s="44">
        <f t="shared" si="31"/>
        <v>0</v>
      </c>
      <c r="P77" s="44">
        <f t="shared" si="31"/>
        <v>0</v>
      </c>
      <c r="Q77" s="44">
        <f t="shared" si="31"/>
        <v>0</v>
      </c>
      <c r="R77" s="44">
        <f t="shared" si="31"/>
        <v>0</v>
      </c>
      <c r="S77" s="44">
        <f t="shared" si="31"/>
        <v>0</v>
      </c>
      <c r="T77" s="44">
        <f t="shared" si="31"/>
        <v>0</v>
      </c>
      <c r="U77" s="44">
        <f t="shared" si="31"/>
        <v>0</v>
      </c>
      <c r="V77" s="44">
        <f t="shared" si="31"/>
        <v>220</v>
      </c>
      <c r="W77" s="44">
        <f t="shared" si="31"/>
        <v>0</v>
      </c>
      <c r="X77" s="44">
        <f t="shared" si="32"/>
        <v>0</v>
      </c>
      <c r="Y77" s="44">
        <f t="shared" si="32"/>
        <v>0</v>
      </c>
      <c r="Z77" s="44">
        <f t="shared" si="32"/>
        <v>0</v>
      </c>
      <c r="AA77" s="44">
        <f t="shared" si="32"/>
        <v>0</v>
      </c>
      <c r="AB77" s="44">
        <f t="shared" si="32"/>
        <v>0</v>
      </c>
      <c r="AC77" s="44">
        <f t="shared" si="32"/>
        <v>0</v>
      </c>
      <c r="AD77" s="44">
        <f t="shared" si="32"/>
        <v>0</v>
      </c>
      <c r="AE77" s="44">
        <f t="shared" si="32"/>
        <v>0</v>
      </c>
      <c r="AF77" s="44">
        <f t="shared" si="32"/>
        <v>0</v>
      </c>
      <c r="AG77" s="44">
        <f t="shared" si="32"/>
        <v>0</v>
      </c>
      <c r="AH77" s="44">
        <f t="shared" si="32"/>
        <v>0</v>
      </c>
      <c r="AI77" s="44">
        <f t="shared" si="32"/>
        <v>0</v>
      </c>
      <c r="AJ77" s="44">
        <f t="shared" si="32"/>
        <v>0</v>
      </c>
      <c r="AK77" s="44">
        <f t="shared" si="32"/>
        <v>0</v>
      </c>
      <c r="AL77" s="44">
        <f t="shared" si="32"/>
        <v>0</v>
      </c>
    </row>
    <row r="78" spans="1:38" x14ac:dyDescent="0.25">
      <c r="A78" s="282">
        <f t="shared" si="28"/>
        <v>0</v>
      </c>
      <c r="B78" s="39">
        <f>+DESP_JANEIRO!B77</f>
        <v>0</v>
      </c>
      <c r="C78" s="39">
        <f>+DESP_JANEIRO!C77</f>
        <v>0</v>
      </c>
      <c r="D78" s="40">
        <f ca="1">+DESP_JANEIRO!F77</f>
        <v>0</v>
      </c>
      <c r="E78" s="41">
        <f t="shared" si="4"/>
        <v>0</v>
      </c>
      <c r="F78" s="42" t="str">
        <f t="shared" si="29"/>
        <v>-</v>
      </c>
      <c r="G78" s="43"/>
      <c r="H78" s="44">
        <f t="shared" si="30"/>
        <v>0</v>
      </c>
      <c r="I78" s="44">
        <f t="shared" si="31"/>
        <v>0</v>
      </c>
      <c r="J78" s="44">
        <f t="shared" si="31"/>
        <v>0</v>
      </c>
      <c r="K78" s="44">
        <f t="shared" si="31"/>
        <v>0</v>
      </c>
      <c r="L78" s="44">
        <f t="shared" si="31"/>
        <v>0</v>
      </c>
      <c r="M78" s="44">
        <f t="shared" si="31"/>
        <v>0</v>
      </c>
      <c r="N78" s="44">
        <f t="shared" si="31"/>
        <v>0</v>
      </c>
      <c r="O78" s="44">
        <f t="shared" si="31"/>
        <v>0</v>
      </c>
      <c r="P78" s="44">
        <f t="shared" si="31"/>
        <v>0</v>
      </c>
      <c r="Q78" s="44">
        <f t="shared" si="31"/>
        <v>0</v>
      </c>
      <c r="R78" s="44">
        <f t="shared" si="31"/>
        <v>0</v>
      </c>
      <c r="S78" s="44">
        <f t="shared" si="31"/>
        <v>0</v>
      </c>
      <c r="T78" s="44">
        <f t="shared" si="31"/>
        <v>0</v>
      </c>
      <c r="U78" s="44">
        <f t="shared" si="31"/>
        <v>0</v>
      </c>
      <c r="V78" s="44">
        <f t="shared" si="31"/>
        <v>0</v>
      </c>
      <c r="W78" s="44">
        <f t="shared" si="31"/>
        <v>0</v>
      </c>
      <c r="X78" s="44">
        <f t="shared" si="32"/>
        <v>0</v>
      </c>
      <c r="Y78" s="44">
        <f t="shared" si="32"/>
        <v>0</v>
      </c>
      <c r="Z78" s="44">
        <f t="shared" si="32"/>
        <v>0</v>
      </c>
      <c r="AA78" s="44">
        <f t="shared" si="32"/>
        <v>0</v>
      </c>
      <c r="AB78" s="44">
        <f t="shared" si="32"/>
        <v>0</v>
      </c>
      <c r="AC78" s="44">
        <f t="shared" si="32"/>
        <v>0</v>
      </c>
      <c r="AD78" s="44">
        <f t="shared" si="32"/>
        <v>0</v>
      </c>
      <c r="AE78" s="44">
        <f t="shared" si="32"/>
        <v>0</v>
      </c>
      <c r="AF78" s="44">
        <f t="shared" si="32"/>
        <v>0</v>
      </c>
      <c r="AG78" s="44">
        <f t="shared" si="32"/>
        <v>0</v>
      </c>
      <c r="AH78" s="44">
        <f t="shared" si="32"/>
        <v>0</v>
      </c>
      <c r="AI78" s="44">
        <f t="shared" si="32"/>
        <v>0</v>
      </c>
      <c r="AJ78" s="44">
        <f t="shared" si="32"/>
        <v>0</v>
      </c>
      <c r="AK78" s="44">
        <f t="shared" si="32"/>
        <v>0</v>
      </c>
      <c r="AL78" s="44">
        <f t="shared" si="32"/>
        <v>0</v>
      </c>
    </row>
    <row r="79" spans="1:38" x14ac:dyDescent="0.25">
      <c r="A79" s="282">
        <f t="shared" si="28"/>
        <v>0</v>
      </c>
      <c r="B79" s="39">
        <f>+DESP_JANEIRO!B78</f>
        <v>0</v>
      </c>
      <c r="C79" s="39">
        <f>+DESP_JANEIRO!C78</f>
        <v>0</v>
      </c>
      <c r="D79" s="40">
        <f ca="1">+DESP_JANEIRO!F78</f>
        <v>0</v>
      </c>
      <c r="E79" s="41">
        <f t="shared" si="4"/>
        <v>0</v>
      </c>
      <c r="F79" s="42" t="str">
        <f t="shared" si="29"/>
        <v>-</v>
      </c>
      <c r="G79" s="43"/>
      <c r="H79" s="44">
        <f t="shared" si="30"/>
        <v>0</v>
      </c>
      <c r="I79" s="44">
        <f t="shared" si="31"/>
        <v>0</v>
      </c>
      <c r="J79" s="44">
        <f t="shared" si="31"/>
        <v>0</v>
      </c>
      <c r="K79" s="44">
        <f t="shared" si="31"/>
        <v>0</v>
      </c>
      <c r="L79" s="44">
        <f t="shared" si="31"/>
        <v>0</v>
      </c>
      <c r="M79" s="44">
        <f t="shared" si="31"/>
        <v>0</v>
      </c>
      <c r="N79" s="44">
        <f t="shared" si="31"/>
        <v>0</v>
      </c>
      <c r="O79" s="44">
        <f t="shared" si="31"/>
        <v>0</v>
      </c>
      <c r="P79" s="44">
        <f t="shared" si="31"/>
        <v>0</v>
      </c>
      <c r="Q79" s="44">
        <f t="shared" si="31"/>
        <v>0</v>
      </c>
      <c r="R79" s="44">
        <f t="shared" si="31"/>
        <v>0</v>
      </c>
      <c r="S79" s="44">
        <f t="shared" si="31"/>
        <v>0</v>
      </c>
      <c r="T79" s="44">
        <f t="shared" si="31"/>
        <v>0</v>
      </c>
      <c r="U79" s="44">
        <f t="shared" si="31"/>
        <v>0</v>
      </c>
      <c r="V79" s="44">
        <f t="shared" si="31"/>
        <v>0</v>
      </c>
      <c r="W79" s="44">
        <f t="shared" si="31"/>
        <v>0</v>
      </c>
      <c r="X79" s="44">
        <f t="shared" si="32"/>
        <v>0</v>
      </c>
      <c r="Y79" s="44">
        <f t="shared" si="32"/>
        <v>0</v>
      </c>
      <c r="Z79" s="44">
        <f t="shared" si="32"/>
        <v>0</v>
      </c>
      <c r="AA79" s="44">
        <f t="shared" si="32"/>
        <v>0</v>
      </c>
      <c r="AB79" s="44">
        <f t="shared" si="32"/>
        <v>0</v>
      </c>
      <c r="AC79" s="44">
        <f t="shared" si="32"/>
        <v>0</v>
      </c>
      <c r="AD79" s="44">
        <f t="shared" si="32"/>
        <v>0</v>
      </c>
      <c r="AE79" s="44">
        <f t="shared" si="32"/>
        <v>0</v>
      </c>
      <c r="AF79" s="44">
        <f t="shared" si="32"/>
        <v>0</v>
      </c>
      <c r="AG79" s="44">
        <f t="shared" si="32"/>
        <v>0</v>
      </c>
      <c r="AH79" s="44">
        <f t="shared" si="32"/>
        <v>0</v>
      </c>
      <c r="AI79" s="44">
        <f t="shared" si="32"/>
        <v>0</v>
      </c>
      <c r="AJ79" s="44">
        <f t="shared" si="32"/>
        <v>0</v>
      </c>
      <c r="AK79" s="44">
        <f t="shared" si="32"/>
        <v>0</v>
      </c>
      <c r="AL79" s="44">
        <f t="shared" si="32"/>
        <v>0</v>
      </c>
    </row>
    <row r="80" spans="1:38" x14ac:dyDescent="0.25">
      <c r="A80" s="282">
        <f t="shared" si="28"/>
        <v>0</v>
      </c>
      <c r="B80" s="39">
        <f>+DESP_JANEIRO!B79</f>
        <v>288.06</v>
      </c>
      <c r="C80" s="39">
        <f>+DESP_JANEIRO!C79</f>
        <v>5</v>
      </c>
      <c r="D80" s="40">
        <f ca="1">+DESP_JANEIRO!F79</f>
        <v>288.06</v>
      </c>
      <c r="E80" s="41">
        <f t="shared" si="4"/>
        <v>288.06</v>
      </c>
      <c r="F80" s="42">
        <f t="shared" si="29"/>
        <v>1</v>
      </c>
      <c r="G80" s="43"/>
      <c r="H80" s="44">
        <f t="shared" si="30"/>
        <v>0</v>
      </c>
      <c r="I80" s="44">
        <f t="shared" si="31"/>
        <v>0</v>
      </c>
      <c r="J80" s="44">
        <f t="shared" si="31"/>
        <v>0</v>
      </c>
      <c r="K80" s="44">
        <f t="shared" si="31"/>
        <v>0</v>
      </c>
      <c r="L80" s="44">
        <f t="shared" si="31"/>
        <v>288.06</v>
      </c>
      <c r="M80" s="44">
        <f t="shared" si="31"/>
        <v>0</v>
      </c>
      <c r="N80" s="44">
        <f t="shared" si="31"/>
        <v>0</v>
      </c>
      <c r="O80" s="44">
        <f t="shared" si="31"/>
        <v>0</v>
      </c>
      <c r="P80" s="44">
        <f t="shared" si="31"/>
        <v>0</v>
      </c>
      <c r="Q80" s="44">
        <f t="shared" si="31"/>
        <v>0</v>
      </c>
      <c r="R80" s="44">
        <f t="shared" si="31"/>
        <v>0</v>
      </c>
      <c r="S80" s="44">
        <f t="shared" si="31"/>
        <v>0</v>
      </c>
      <c r="T80" s="44">
        <f t="shared" si="31"/>
        <v>0</v>
      </c>
      <c r="U80" s="44">
        <f t="shared" si="31"/>
        <v>0</v>
      </c>
      <c r="V80" s="44">
        <f t="shared" si="31"/>
        <v>0</v>
      </c>
      <c r="W80" s="44">
        <f t="shared" si="31"/>
        <v>0</v>
      </c>
      <c r="X80" s="44">
        <f t="shared" si="32"/>
        <v>0</v>
      </c>
      <c r="Y80" s="44">
        <f t="shared" si="32"/>
        <v>0</v>
      </c>
      <c r="Z80" s="44">
        <f t="shared" si="32"/>
        <v>0</v>
      </c>
      <c r="AA80" s="44">
        <f t="shared" si="32"/>
        <v>0</v>
      </c>
      <c r="AB80" s="44">
        <f t="shared" si="32"/>
        <v>0</v>
      </c>
      <c r="AC80" s="44">
        <f t="shared" si="32"/>
        <v>0</v>
      </c>
      <c r="AD80" s="44">
        <f t="shared" si="32"/>
        <v>0</v>
      </c>
      <c r="AE80" s="44">
        <f t="shared" si="32"/>
        <v>0</v>
      </c>
      <c r="AF80" s="44">
        <f t="shared" si="32"/>
        <v>0</v>
      </c>
      <c r="AG80" s="44">
        <f t="shared" si="32"/>
        <v>0</v>
      </c>
      <c r="AH80" s="44">
        <f t="shared" si="32"/>
        <v>0</v>
      </c>
      <c r="AI80" s="44">
        <f t="shared" si="32"/>
        <v>0</v>
      </c>
      <c r="AJ80" s="44">
        <f t="shared" si="32"/>
        <v>0</v>
      </c>
      <c r="AK80" s="44">
        <f t="shared" si="32"/>
        <v>0</v>
      </c>
      <c r="AL80" s="44">
        <f t="shared" si="32"/>
        <v>0</v>
      </c>
    </row>
    <row r="81" spans="1:38" x14ac:dyDescent="0.25">
      <c r="A81" s="282">
        <f t="shared" si="28"/>
        <v>0</v>
      </c>
      <c r="B81" s="39">
        <f>+DESP_JANEIRO!B80</f>
        <v>236.13</v>
      </c>
      <c r="C81" s="39">
        <f>+DESP_JANEIRO!C80</f>
        <v>26</v>
      </c>
      <c r="D81" s="40">
        <f ca="1">+DESP_JANEIRO!F80</f>
        <v>0</v>
      </c>
      <c r="E81" s="41">
        <f t="shared" si="4"/>
        <v>236.13</v>
      </c>
      <c r="F81" s="42">
        <f t="shared" si="29"/>
        <v>1</v>
      </c>
      <c r="G81" s="43"/>
      <c r="H81" s="44">
        <f t="shared" si="30"/>
        <v>0</v>
      </c>
      <c r="I81" s="44">
        <f t="shared" si="31"/>
        <v>0</v>
      </c>
      <c r="J81" s="44">
        <f t="shared" si="31"/>
        <v>0</v>
      </c>
      <c r="K81" s="44">
        <f t="shared" si="31"/>
        <v>0</v>
      </c>
      <c r="L81" s="44">
        <f t="shared" si="31"/>
        <v>0</v>
      </c>
      <c r="M81" s="44">
        <f t="shared" si="31"/>
        <v>0</v>
      </c>
      <c r="N81" s="44">
        <f t="shared" si="31"/>
        <v>0</v>
      </c>
      <c r="O81" s="44">
        <f t="shared" si="31"/>
        <v>0</v>
      </c>
      <c r="P81" s="44">
        <f t="shared" si="31"/>
        <v>0</v>
      </c>
      <c r="Q81" s="44">
        <f t="shared" si="31"/>
        <v>0</v>
      </c>
      <c r="R81" s="44">
        <f t="shared" si="31"/>
        <v>0</v>
      </c>
      <c r="S81" s="44">
        <f t="shared" si="31"/>
        <v>0</v>
      </c>
      <c r="T81" s="44">
        <f t="shared" si="31"/>
        <v>0</v>
      </c>
      <c r="U81" s="44">
        <f t="shared" si="31"/>
        <v>0</v>
      </c>
      <c r="V81" s="44">
        <f t="shared" si="31"/>
        <v>0</v>
      </c>
      <c r="W81" s="44">
        <f t="shared" si="31"/>
        <v>0</v>
      </c>
      <c r="X81" s="44">
        <f t="shared" si="32"/>
        <v>0</v>
      </c>
      <c r="Y81" s="44">
        <f t="shared" si="32"/>
        <v>0</v>
      </c>
      <c r="Z81" s="44">
        <f t="shared" si="32"/>
        <v>0</v>
      </c>
      <c r="AA81" s="44">
        <f t="shared" si="32"/>
        <v>0</v>
      </c>
      <c r="AB81" s="44">
        <f t="shared" si="32"/>
        <v>0</v>
      </c>
      <c r="AC81" s="44">
        <f t="shared" si="32"/>
        <v>0</v>
      </c>
      <c r="AD81" s="44">
        <f t="shared" si="32"/>
        <v>0</v>
      </c>
      <c r="AE81" s="44">
        <f t="shared" si="32"/>
        <v>0</v>
      </c>
      <c r="AF81" s="44">
        <f t="shared" si="32"/>
        <v>0</v>
      </c>
      <c r="AG81" s="44">
        <f t="shared" si="32"/>
        <v>236.13</v>
      </c>
      <c r="AH81" s="44">
        <f t="shared" si="32"/>
        <v>0</v>
      </c>
      <c r="AI81" s="44">
        <f t="shared" si="32"/>
        <v>0</v>
      </c>
      <c r="AJ81" s="44">
        <f t="shared" si="32"/>
        <v>0</v>
      </c>
      <c r="AK81" s="44">
        <f t="shared" si="32"/>
        <v>0</v>
      </c>
      <c r="AL81" s="44">
        <f t="shared" si="32"/>
        <v>0</v>
      </c>
    </row>
    <row r="82" spans="1:38" x14ac:dyDescent="0.25">
      <c r="A82" s="282">
        <f t="shared" si="28"/>
        <v>-859.92</v>
      </c>
      <c r="B82" s="39">
        <f>+DESP_JANEIRO!B81</f>
        <v>859.92</v>
      </c>
      <c r="C82" s="39">
        <f>+DESP_JANEIRO!C81</f>
        <v>0</v>
      </c>
      <c r="D82" s="40">
        <f ca="1">+DESP_JANEIRO!F81</f>
        <v>0</v>
      </c>
      <c r="E82" s="41">
        <f t="shared" si="4"/>
        <v>0</v>
      </c>
      <c r="F82" s="42">
        <f t="shared" si="29"/>
        <v>0</v>
      </c>
      <c r="G82" s="43"/>
      <c r="H82" s="44">
        <f t="shared" si="30"/>
        <v>0</v>
      </c>
      <c r="I82" s="44">
        <f t="shared" si="31"/>
        <v>0</v>
      </c>
      <c r="J82" s="44">
        <f t="shared" si="31"/>
        <v>0</v>
      </c>
      <c r="K82" s="44">
        <f t="shared" si="31"/>
        <v>0</v>
      </c>
      <c r="L82" s="44">
        <f t="shared" si="31"/>
        <v>0</v>
      </c>
      <c r="M82" s="44">
        <f t="shared" si="31"/>
        <v>0</v>
      </c>
      <c r="N82" s="44">
        <f t="shared" si="31"/>
        <v>0</v>
      </c>
      <c r="O82" s="44">
        <f t="shared" si="31"/>
        <v>0</v>
      </c>
      <c r="P82" s="44">
        <f t="shared" si="31"/>
        <v>0</v>
      </c>
      <c r="Q82" s="44">
        <f t="shared" si="31"/>
        <v>0</v>
      </c>
      <c r="R82" s="44">
        <f t="shared" si="31"/>
        <v>0</v>
      </c>
      <c r="S82" s="44">
        <f t="shared" si="31"/>
        <v>0</v>
      </c>
      <c r="T82" s="44">
        <f t="shared" si="31"/>
        <v>0</v>
      </c>
      <c r="U82" s="44">
        <f t="shared" si="31"/>
        <v>0</v>
      </c>
      <c r="V82" s="44">
        <f t="shared" si="31"/>
        <v>0</v>
      </c>
      <c r="W82" s="44">
        <f t="shared" si="31"/>
        <v>0</v>
      </c>
      <c r="X82" s="44">
        <f t="shared" si="32"/>
        <v>0</v>
      </c>
      <c r="Y82" s="44">
        <f t="shared" si="32"/>
        <v>0</v>
      </c>
      <c r="Z82" s="44">
        <f t="shared" si="32"/>
        <v>0</v>
      </c>
      <c r="AA82" s="44">
        <f t="shared" si="32"/>
        <v>0</v>
      </c>
      <c r="AB82" s="44">
        <f t="shared" si="32"/>
        <v>0</v>
      </c>
      <c r="AC82" s="44">
        <f t="shared" si="32"/>
        <v>0</v>
      </c>
      <c r="AD82" s="44">
        <f t="shared" si="32"/>
        <v>0</v>
      </c>
      <c r="AE82" s="44">
        <f t="shared" si="32"/>
        <v>0</v>
      </c>
      <c r="AF82" s="44">
        <f t="shared" si="32"/>
        <v>0</v>
      </c>
      <c r="AG82" s="44">
        <f t="shared" si="32"/>
        <v>0</v>
      </c>
      <c r="AH82" s="44">
        <f t="shared" si="32"/>
        <v>0</v>
      </c>
      <c r="AI82" s="44">
        <f t="shared" si="32"/>
        <v>0</v>
      </c>
      <c r="AJ82" s="44">
        <f t="shared" si="32"/>
        <v>0</v>
      </c>
      <c r="AK82" s="44">
        <f t="shared" si="32"/>
        <v>0</v>
      </c>
      <c r="AL82" s="44">
        <f t="shared" si="32"/>
        <v>0</v>
      </c>
    </row>
    <row r="83" spans="1:38" x14ac:dyDescent="0.25">
      <c r="A83" s="282">
        <f t="shared" si="28"/>
        <v>0</v>
      </c>
      <c r="B83" s="39">
        <f>+DESP_JANEIRO!B82</f>
        <v>300</v>
      </c>
      <c r="C83" s="39">
        <f>+DESP_JANEIRO!C82</f>
        <v>1</v>
      </c>
      <c r="D83" s="40">
        <f ca="1">+DESP_JANEIRO!F82</f>
        <v>300</v>
      </c>
      <c r="E83" s="41">
        <f t="shared" si="4"/>
        <v>300</v>
      </c>
      <c r="F83" s="42">
        <f t="shared" si="29"/>
        <v>1</v>
      </c>
      <c r="G83" s="43"/>
      <c r="H83" s="44">
        <f t="shared" si="30"/>
        <v>300</v>
      </c>
      <c r="I83" s="44">
        <f t="shared" si="31"/>
        <v>0</v>
      </c>
      <c r="J83" s="44">
        <f t="shared" si="31"/>
        <v>0</v>
      </c>
      <c r="K83" s="44">
        <f t="shared" si="31"/>
        <v>0</v>
      </c>
      <c r="L83" s="44">
        <f t="shared" si="31"/>
        <v>0</v>
      </c>
      <c r="M83" s="44">
        <f t="shared" si="31"/>
        <v>0</v>
      </c>
      <c r="N83" s="44">
        <f t="shared" si="31"/>
        <v>0</v>
      </c>
      <c r="O83" s="44">
        <f t="shared" si="31"/>
        <v>0</v>
      </c>
      <c r="P83" s="44">
        <f t="shared" si="31"/>
        <v>0</v>
      </c>
      <c r="Q83" s="44">
        <f t="shared" si="31"/>
        <v>0</v>
      </c>
      <c r="R83" s="44">
        <f t="shared" si="31"/>
        <v>0</v>
      </c>
      <c r="S83" s="44">
        <f t="shared" si="31"/>
        <v>0</v>
      </c>
      <c r="T83" s="44">
        <f t="shared" si="31"/>
        <v>0</v>
      </c>
      <c r="U83" s="44">
        <f t="shared" si="31"/>
        <v>0</v>
      </c>
      <c r="V83" s="44">
        <f t="shared" si="31"/>
        <v>0</v>
      </c>
      <c r="W83" s="44">
        <f t="shared" si="31"/>
        <v>0</v>
      </c>
      <c r="X83" s="44">
        <f t="shared" si="32"/>
        <v>0</v>
      </c>
      <c r="Y83" s="44">
        <f t="shared" si="32"/>
        <v>0</v>
      </c>
      <c r="Z83" s="44">
        <f t="shared" si="32"/>
        <v>0</v>
      </c>
      <c r="AA83" s="44">
        <f t="shared" si="32"/>
        <v>0</v>
      </c>
      <c r="AB83" s="44">
        <f t="shared" si="32"/>
        <v>0</v>
      </c>
      <c r="AC83" s="44">
        <f t="shared" si="32"/>
        <v>0</v>
      </c>
      <c r="AD83" s="44">
        <f t="shared" si="32"/>
        <v>0</v>
      </c>
      <c r="AE83" s="44">
        <f t="shared" si="32"/>
        <v>0</v>
      </c>
      <c r="AF83" s="44">
        <f t="shared" si="32"/>
        <v>0</v>
      </c>
      <c r="AG83" s="44">
        <f t="shared" si="32"/>
        <v>0</v>
      </c>
      <c r="AH83" s="44">
        <f t="shared" si="32"/>
        <v>0</v>
      </c>
      <c r="AI83" s="44">
        <f t="shared" si="32"/>
        <v>0</v>
      </c>
      <c r="AJ83" s="44">
        <f t="shared" si="32"/>
        <v>0</v>
      </c>
      <c r="AK83" s="44">
        <f t="shared" si="32"/>
        <v>0</v>
      </c>
      <c r="AL83" s="44">
        <f t="shared" si="32"/>
        <v>0</v>
      </c>
    </row>
    <row r="84" spans="1:38" x14ac:dyDescent="0.25">
      <c r="A84" s="282">
        <f t="shared" si="28"/>
        <v>0</v>
      </c>
      <c r="B84" s="39">
        <f>+DESP_JANEIRO!B83</f>
        <v>159.63999999999999</v>
      </c>
      <c r="C84" s="39">
        <f>+DESP_JANEIRO!C83</f>
        <v>12</v>
      </c>
      <c r="D84" s="40">
        <f ca="1">+DESP_JANEIRO!F83</f>
        <v>159.63999999999999</v>
      </c>
      <c r="E84" s="41">
        <f t="shared" ref="E84:E88" si="33">+SUM(H84:AL84)</f>
        <v>159.63999999999999</v>
      </c>
      <c r="F84" s="42">
        <f t="shared" ref="F84:F88" si="34">+IF(B84=0,"-",E84/B84)</f>
        <v>1</v>
      </c>
      <c r="G84" s="43"/>
      <c r="H84" s="44">
        <f t="shared" si="30"/>
        <v>0</v>
      </c>
      <c r="I84" s="44">
        <f t="shared" si="31"/>
        <v>0</v>
      </c>
      <c r="J84" s="44">
        <f t="shared" si="31"/>
        <v>0</v>
      </c>
      <c r="K84" s="44">
        <f t="shared" si="31"/>
        <v>0</v>
      </c>
      <c r="L84" s="44">
        <f t="shared" si="31"/>
        <v>0</v>
      </c>
      <c r="M84" s="44">
        <f t="shared" si="31"/>
        <v>0</v>
      </c>
      <c r="N84" s="44">
        <f t="shared" si="31"/>
        <v>0</v>
      </c>
      <c r="O84" s="44">
        <f t="shared" si="31"/>
        <v>0</v>
      </c>
      <c r="P84" s="44">
        <f t="shared" si="31"/>
        <v>0</v>
      </c>
      <c r="Q84" s="44">
        <f t="shared" si="31"/>
        <v>0</v>
      </c>
      <c r="R84" s="44">
        <f t="shared" si="31"/>
        <v>0</v>
      </c>
      <c r="S84" s="44">
        <f t="shared" si="31"/>
        <v>159.63999999999999</v>
      </c>
      <c r="T84" s="44">
        <f t="shared" si="31"/>
        <v>0</v>
      </c>
      <c r="U84" s="44">
        <f t="shared" si="31"/>
        <v>0</v>
      </c>
      <c r="V84" s="44">
        <f t="shared" si="31"/>
        <v>0</v>
      </c>
      <c r="W84" s="44">
        <f t="shared" si="31"/>
        <v>0</v>
      </c>
      <c r="X84" s="44">
        <f t="shared" si="32"/>
        <v>0</v>
      </c>
      <c r="Y84" s="44">
        <f t="shared" si="32"/>
        <v>0</v>
      </c>
      <c r="Z84" s="44">
        <f t="shared" si="32"/>
        <v>0</v>
      </c>
      <c r="AA84" s="44">
        <f t="shared" si="32"/>
        <v>0</v>
      </c>
      <c r="AB84" s="44">
        <f t="shared" si="32"/>
        <v>0</v>
      </c>
      <c r="AC84" s="44">
        <f t="shared" si="32"/>
        <v>0</v>
      </c>
      <c r="AD84" s="44">
        <f t="shared" si="32"/>
        <v>0</v>
      </c>
      <c r="AE84" s="44">
        <f t="shared" si="32"/>
        <v>0</v>
      </c>
      <c r="AF84" s="44">
        <f t="shared" si="32"/>
        <v>0</v>
      </c>
      <c r="AG84" s="44">
        <f t="shared" si="32"/>
        <v>0</v>
      </c>
      <c r="AH84" s="44">
        <f t="shared" si="32"/>
        <v>0</v>
      </c>
      <c r="AI84" s="44">
        <f t="shared" si="32"/>
        <v>0</v>
      </c>
      <c r="AJ84" s="44">
        <f t="shared" si="32"/>
        <v>0</v>
      </c>
      <c r="AK84" s="44">
        <f t="shared" si="32"/>
        <v>0</v>
      </c>
      <c r="AL84" s="44">
        <f t="shared" si="32"/>
        <v>0</v>
      </c>
    </row>
    <row r="85" spans="1:38" x14ac:dyDescent="0.25">
      <c r="A85" s="282">
        <f t="shared" si="28"/>
        <v>0</v>
      </c>
      <c r="B85" s="39">
        <f>+DESP_JANEIRO!B84</f>
        <v>173.49</v>
      </c>
      <c r="C85" s="39">
        <f>+DESP_JANEIRO!C84</f>
        <v>6</v>
      </c>
      <c r="D85" s="40">
        <f ca="1">+DESP_JANEIRO!F84</f>
        <v>173.49</v>
      </c>
      <c r="E85" s="41">
        <f t="shared" si="33"/>
        <v>173.49</v>
      </c>
      <c r="F85" s="42">
        <f t="shared" si="34"/>
        <v>1</v>
      </c>
      <c r="G85" s="43"/>
      <c r="H85" s="44">
        <f t="shared" si="30"/>
        <v>0</v>
      </c>
      <c r="I85" s="44">
        <f t="shared" si="31"/>
        <v>0</v>
      </c>
      <c r="J85" s="44">
        <f t="shared" si="31"/>
        <v>0</v>
      </c>
      <c r="K85" s="44">
        <f t="shared" si="31"/>
        <v>0</v>
      </c>
      <c r="L85" s="44">
        <f t="shared" si="31"/>
        <v>0</v>
      </c>
      <c r="M85" s="44">
        <f t="shared" si="31"/>
        <v>173.49</v>
      </c>
      <c r="N85" s="44">
        <f t="shared" si="31"/>
        <v>0</v>
      </c>
      <c r="O85" s="44">
        <f t="shared" si="31"/>
        <v>0</v>
      </c>
      <c r="P85" s="44">
        <f t="shared" si="31"/>
        <v>0</v>
      </c>
      <c r="Q85" s="44">
        <f t="shared" si="31"/>
        <v>0</v>
      </c>
      <c r="R85" s="44">
        <f t="shared" si="31"/>
        <v>0</v>
      </c>
      <c r="S85" s="44">
        <f t="shared" si="31"/>
        <v>0</v>
      </c>
      <c r="T85" s="44">
        <f t="shared" si="31"/>
        <v>0</v>
      </c>
      <c r="U85" s="44">
        <f t="shared" si="31"/>
        <v>0</v>
      </c>
      <c r="V85" s="44">
        <f t="shared" si="31"/>
        <v>0</v>
      </c>
      <c r="W85" s="44">
        <f t="shared" ref="W85" si="35">+IF(W$3&gt;$D$2,0,IF($C85=W$3,$B85,0))</f>
        <v>0</v>
      </c>
      <c r="X85" s="44">
        <f t="shared" si="32"/>
        <v>0</v>
      </c>
      <c r="Y85" s="44">
        <f t="shared" si="32"/>
        <v>0</v>
      </c>
      <c r="Z85" s="44">
        <f t="shared" si="32"/>
        <v>0</v>
      </c>
      <c r="AA85" s="44">
        <f t="shared" si="32"/>
        <v>0</v>
      </c>
      <c r="AB85" s="44">
        <f t="shared" si="32"/>
        <v>0</v>
      </c>
      <c r="AC85" s="44">
        <f t="shared" si="32"/>
        <v>0</v>
      </c>
      <c r="AD85" s="44">
        <f t="shared" si="32"/>
        <v>0</v>
      </c>
      <c r="AE85" s="44">
        <f t="shared" si="32"/>
        <v>0</v>
      </c>
      <c r="AF85" s="44">
        <f t="shared" si="32"/>
        <v>0</v>
      </c>
      <c r="AG85" s="44">
        <f t="shared" si="32"/>
        <v>0</v>
      </c>
      <c r="AH85" s="44">
        <f t="shared" si="32"/>
        <v>0</v>
      </c>
      <c r="AI85" s="44">
        <f t="shared" si="32"/>
        <v>0</v>
      </c>
      <c r="AJ85" s="44">
        <f t="shared" si="32"/>
        <v>0</v>
      </c>
      <c r="AK85" s="44">
        <f t="shared" si="32"/>
        <v>0</v>
      </c>
      <c r="AL85" s="44">
        <f t="shared" si="32"/>
        <v>0</v>
      </c>
    </row>
    <row r="86" spans="1:38" x14ac:dyDescent="0.25">
      <c r="A86" s="282">
        <f t="shared" si="28"/>
        <v>0</v>
      </c>
      <c r="B86" s="39">
        <f>+DESP_JANEIRO!B85</f>
        <v>291.10000000000002</v>
      </c>
      <c r="C86" s="39">
        <f>+DESP_JANEIRO!C85</f>
        <v>6</v>
      </c>
      <c r="D86" s="40">
        <f ca="1">+DESP_JANEIRO!F85</f>
        <v>291.10000000000002</v>
      </c>
      <c r="E86" s="41">
        <f t="shared" si="33"/>
        <v>291.10000000000002</v>
      </c>
      <c r="F86" s="42">
        <f t="shared" si="34"/>
        <v>1</v>
      </c>
      <c r="G86" s="43"/>
      <c r="H86" s="44">
        <f t="shared" si="30"/>
        <v>0</v>
      </c>
      <c r="I86" s="44">
        <f t="shared" ref="I86:W89" si="36">+IF(I$3&gt;$D$2,0,IF($C86=I$3,$B86,0))</f>
        <v>0</v>
      </c>
      <c r="J86" s="44">
        <f t="shared" si="36"/>
        <v>0</v>
      </c>
      <c r="K86" s="44">
        <f t="shared" si="36"/>
        <v>0</v>
      </c>
      <c r="L86" s="44">
        <f t="shared" si="36"/>
        <v>0</v>
      </c>
      <c r="M86" s="44">
        <f t="shared" si="36"/>
        <v>291.10000000000002</v>
      </c>
      <c r="N86" s="44">
        <f t="shared" si="36"/>
        <v>0</v>
      </c>
      <c r="O86" s="44">
        <f t="shared" si="36"/>
        <v>0</v>
      </c>
      <c r="P86" s="44">
        <f t="shared" si="36"/>
        <v>0</v>
      </c>
      <c r="Q86" s="44">
        <f t="shared" si="36"/>
        <v>0</v>
      </c>
      <c r="R86" s="44">
        <f t="shared" si="36"/>
        <v>0</v>
      </c>
      <c r="S86" s="44">
        <f t="shared" si="36"/>
        <v>0</v>
      </c>
      <c r="T86" s="44">
        <f t="shared" si="36"/>
        <v>0</v>
      </c>
      <c r="U86" s="44">
        <f t="shared" si="36"/>
        <v>0</v>
      </c>
      <c r="V86" s="44">
        <f t="shared" si="36"/>
        <v>0</v>
      </c>
      <c r="W86" s="44">
        <f t="shared" si="36"/>
        <v>0</v>
      </c>
      <c r="X86" s="44">
        <f t="shared" si="32"/>
        <v>0</v>
      </c>
      <c r="Y86" s="44">
        <f t="shared" si="32"/>
        <v>0</v>
      </c>
      <c r="Z86" s="44">
        <f t="shared" si="32"/>
        <v>0</v>
      </c>
      <c r="AA86" s="44">
        <f t="shared" si="32"/>
        <v>0</v>
      </c>
      <c r="AB86" s="44">
        <f t="shared" si="32"/>
        <v>0</v>
      </c>
      <c r="AC86" s="44">
        <f t="shared" si="32"/>
        <v>0</v>
      </c>
      <c r="AD86" s="44">
        <f t="shared" si="32"/>
        <v>0</v>
      </c>
      <c r="AE86" s="44">
        <f t="shared" si="32"/>
        <v>0</v>
      </c>
      <c r="AF86" s="44">
        <f t="shared" si="32"/>
        <v>0</v>
      </c>
      <c r="AG86" s="44">
        <f t="shared" si="32"/>
        <v>0</v>
      </c>
      <c r="AH86" s="44">
        <f t="shared" si="32"/>
        <v>0</v>
      </c>
      <c r="AI86" s="44">
        <f t="shared" si="32"/>
        <v>0</v>
      </c>
      <c r="AJ86" s="44">
        <f t="shared" si="32"/>
        <v>0</v>
      </c>
      <c r="AK86" s="44">
        <f t="shared" si="32"/>
        <v>0</v>
      </c>
      <c r="AL86" s="44">
        <f t="shared" si="32"/>
        <v>0</v>
      </c>
    </row>
    <row r="87" spans="1:38" x14ac:dyDescent="0.25">
      <c r="A87" s="282">
        <f t="shared" si="28"/>
        <v>0</v>
      </c>
      <c r="B87" s="39">
        <f>+DESP_JANEIRO!B86</f>
        <v>0</v>
      </c>
      <c r="C87" s="39">
        <f>+DESP_JANEIRO!C86</f>
        <v>0</v>
      </c>
      <c r="D87" s="40">
        <f ca="1">+DESP_JANEIRO!F86</f>
        <v>0</v>
      </c>
      <c r="E87" s="41">
        <f t="shared" si="33"/>
        <v>0</v>
      </c>
      <c r="F87" s="42" t="str">
        <f t="shared" si="34"/>
        <v>-</v>
      </c>
      <c r="G87" s="43"/>
      <c r="H87" s="44">
        <f t="shared" si="30"/>
        <v>0</v>
      </c>
      <c r="I87" s="44">
        <f t="shared" si="36"/>
        <v>0</v>
      </c>
      <c r="J87" s="44">
        <f t="shared" si="36"/>
        <v>0</v>
      </c>
      <c r="K87" s="44">
        <f t="shared" si="36"/>
        <v>0</v>
      </c>
      <c r="L87" s="44">
        <f t="shared" si="36"/>
        <v>0</v>
      </c>
      <c r="M87" s="44">
        <f t="shared" si="36"/>
        <v>0</v>
      </c>
      <c r="N87" s="44">
        <f t="shared" si="36"/>
        <v>0</v>
      </c>
      <c r="O87" s="44">
        <f t="shared" si="36"/>
        <v>0</v>
      </c>
      <c r="P87" s="44">
        <f t="shared" si="36"/>
        <v>0</v>
      </c>
      <c r="Q87" s="44">
        <f t="shared" si="36"/>
        <v>0</v>
      </c>
      <c r="R87" s="44">
        <f t="shared" si="36"/>
        <v>0</v>
      </c>
      <c r="S87" s="44">
        <f t="shared" si="36"/>
        <v>0</v>
      </c>
      <c r="T87" s="44">
        <f t="shared" si="36"/>
        <v>0</v>
      </c>
      <c r="U87" s="44">
        <f t="shared" si="36"/>
        <v>0</v>
      </c>
      <c r="V87" s="44">
        <f t="shared" si="36"/>
        <v>0</v>
      </c>
      <c r="W87" s="44">
        <f t="shared" si="36"/>
        <v>0</v>
      </c>
      <c r="X87" s="44">
        <f t="shared" ref="X87:AL89" si="37">+IF(X$3&gt;$D$2,0,IF($C87=X$3,$B87,0))</f>
        <v>0</v>
      </c>
      <c r="Y87" s="44">
        <f t="shared" si="37"/>
        <v>0</v>
      </c>
      <c r="Z87" s="44">
        <f t="shared" si="37"/>
        <v>0</v>
      </c>
      <c r="AA87" s="44">
        <f t="shared" si="37"/>
        <v>0</v>
      </c>
      <c r="AB87" s="44">
        <f t="shared" si="37"/>
        <v>0</v>
      </c>
      <c r="AC87" s="44">
        <f t="shared" si="37"/>
        <v>0</v>
      </c>
      <c r="AD87" s="44">
        <f t="shared" si="37"/>
        <v>0</v>
      </c>
      <c r="AE87" s="44">
        <f t="shared" si="37"/>
        <v>0</v>
      </c>
      <c r="AF87" s="44">
        <f t="shared" si="37"/>
        <v>0</v>
      </c>
      <c r="AG87" s="44">
        <f t="shared" si="37"/>
        <v>0</v>
      </c>
      <c r="AH87" s="44">
        <f t="shared" si="37"/>
        <v>0</v>
      </c>
      <c r="AI87" s="44">
        <f t="shared" si="37"/>
        <v>0</v>
      </c>
      <c r="AJ87" s="44">
        <f t="shared" si="37"/>
        <v>0</v>
      </c>
      <c r="AK87" s="44">
        <f t="shared" si="37"/>
        <v>0</v>
      </c>
      <c r="AL87" s="44">
        <f t="shared" si="37"/>
        <v>0</v>
      </c>
    </row>
    <row r="88" spans="1:38" x14ac:dyDescent="0.25">
      <c r="A88" s="282">
        <f t="shared" si="28"/>
        <v>0</v>
      </c>
      <c r="B88" s="39">
        <f>+DESP_JANEIRO!B87</f>
        <v>0</v>
      </c>
      <c r="C88" s="39">
        <f>+DESP_JANEIRO!C87</f>
        <v>0</v>
      </c>
      <c r="D88" s="40">
        <f ca="1">+DESP_JANEIRO!F87</f>
        <v>0</v>
      </c>
      <c r="E88" s="41">
        <f t="shared" si="33"/>
        <v>0</v>
      </c>
      <c r="F88" s="42" t="str">
        <f t="shared" si="34"/>
        <v>-</v>
      </c>
      <c r="G88" s="43"/>
      <c r="H88" s="44">
        <f t="shared" si="30"/>
        <v>0</v>
      </c>
      <c r="I88" s="44">
        <f t="shared" si="36"/>
        <v>0</v>
      </c>
      <c r="J88" s="44">
        <f t="shared" si="36"/>
        <v>0</v>
      </c>
      <c r="K88" s="44">
        <f t="shared" si="36"/>
        <v>0</v>
      </c>
      <c r="L88" s="44">
        <f t="shared" si="36"/>
        <v>0</v>
      </c>
      <c r="M88" s="44">
        <f t="shared" si="36"/>
        <v>0</v>
      </c>
      <c r="N88" s="44">
        <f t="shared" si="36"/>
        <v>0</v>
      </c>
      <c r="O88" s="44">
        <f t="shared" si="36"/>
        <v>0</v>
      </c>
      <c r="P88" s="44">
        <f t="shared" si="36"/>
        <v>0</v>
      </c>
      <c r="Q88" s="44">
        <f t="shared" si="36"/>
        <v>0</v>
      </c>
      <c r="R88" s="44">
        <f t="shared" si="36"/>
        <v>0</v>
      </c>
      <c r="S88" s="44">
        <f t="shared" si="36"/>
        <v>0</v>
      </c>
      <c r="T88" s="44">
        <f t="shared" si="36"/>
        <v>0</v>
      </c>
      <c r="U88" s="44">
        <f t="shared" si="36"/>
        <v>0</v>
      </c>
      <c r="V88" s="44">
        <f t="shared" si="36"/>
        <v>0</v>
      </c>
      <c r="W88" s="44">
        <f t="shared" si="36"/>
        <v>0</v>
      </c>
      <c r="X88" s="44">
        <f t="shared" si="37"/>
        <v>0</v>
      </c>
      <c r="Y88" s="44">
        <f t="shared" si="37"/>
        <v>0</v>
      </c>
      <c r="Z88" s="44">
        <f t="shared" si="37"/>
        <v>0</v>
      </c>
      <c r="AA88" s="44">
        <f t="shared" si="37"/>
        <v>0</v>
      </c>
      <c r="AB88" s="44">
        <f t="shared" si="37"/>
        <v>0</v>
      </c>
      <c r="AC88" s="44">
        <f t="shared" si="37"/>
        <v>0</v>
      </c>
      <c r="AD88" s="44">
        <f t="shared" si="37"/>
        <v>0</v>
      </c>
      <c r="AE88" s="44">
        <f t="shared" si="37"/>
        <v>0</v>
      </c>
      <c r="AF88" s="44">
        <f t="shared" si="37"/>
        <v>0</v>
      </c>
      <c r="AG88" s="44">
        <f t="shared" si="37"/>
        <v>0</v>
      </c>
      <c r="AH88" s="44">
        <f t="shared" si="37"/>
        <v>0</v>
      </c>
      <c r="AI88" s="44">
        <f t="shared" si="37"/>
        <v>0</v>
      </c>
      <c r="AJ88" s="44">
        <f t="shared" si="37"/>
        <v>0</v>
      </c>
      <c r="AK88" s="44">
        <f t="shared" si="37"/>
        <v>0</v>
      </c>
      <c r="AL88" s="44">
        <f t="shared" si="37"/>
        <v>0</v>
      </c>
    </row>
    <row r="89" spans="1:38" x14ac:dyDescent="0.25">
      <c r="A89" s="282">
        <f t="shared" si="28"/>
        <v>0</v>
      </c>
      <c r="B89" s="39">
        <f>+DESP_JANEIRO!B88</f>
        <v>0</v>
      </c>
      <c r="C89" s="39">
        <f>+DESP_JANEIRO!C83</f>
        <v>12</v>
      </c>
      <c r="D89" s="40">
        <f ca="1">+DESP_JANEIRO!F88</f>
        <v>0</v>
      </c>
      <c r="E89" s="41">
        <f t="shared" si="4"/>
        <v>0</v>
      </c>
      <c r="F89" s="42" t="str">
        <f t="shared" si="29"/>
        <v>-</v>
      </c>
      <c r="G89" s="43"/>
      <c r="H89" s="44">
        <f t="shared" si="30"/>
        <v>0</v>
      </c>
      <c r="I89" s="44">
        <f t="shared" si="36"/>
        <v>0</v>
      </c>
      <c r="J89" s="44">
        <f t="shared" si="36"/>
        <v>0</v>
      </c>
      <c r="K89" s="44">
        <f t="shared" si="36"/>
        <v>0</v>
      </c>
      <c r="L89" s="44">
        <f t="shared" si="36"/>
        <v>0</v>
      </c>
      <c r="M89" s="44">
        <f t="shared" si="36"/>
        <v>0</v>
      </c>
      <c r="N89" s="44">
        <f t="shared" si="36"/>
        <v>0</v>
      </c>
      <c r="O89" s="44">
        <f t="shared" si="36"/>
        <v>0</v>
      </c>
      <c r="P89" s="44">
        <f t="shared" si="36"/>
        <v>0</v>
      </c>
      <c r="Q89" s="44">
        <f t="shared" si="36"/>
        <v>0</v>
      </c>
      <c r="R89" s="44">
        <f t="shared" si="36"/>
        <v>0</v>
      </c>
      <c r="S89" s="44">
        <f t="shared" si="36"/>
        <v>0</v>
      </c>
      <c r="T89" s="44">
        <f t="shared" si="36"/>
        <v>0</v>
      </c>
      <c r="U89" s="44">
        <f t="shared" si="36"/>
        <v>0</v>
      </c>
      <c r="V89" s="44">
        <f t="shared" si="36"/>
        <v>0</v>
      </c>
      <c r="W89" s="44">
        <f t="shared" si="36"/>
        <v>0</v>
      </c>
      <c r="X89" s="44">
        <f t="shared" si="37"/>
        <v>0</v>
      </c>
      <c r="Y89" s="44">
        <f t="shared" si="37"/>
        <v>0</v>
      </c>
      <c r="Z89" s="44">
        <f t="shared" si="37"/>
        <v>0</v>
      </c>
      <c r="AA89" s="44">
        <f t="shared" si="37"/>
        <v>0</v>
      </c>
      <c r="AB89" s="44">
        <f t="shared" si="37"/>
        <v>0</v>
      </c>
      <c r="AC89" s="44">
        <f t="shared" si="37"/>
        <v>0</v>
      </c>
      <c r="AD89" s="44">
        <f t="shared" si="37"/>
        <v>0</v>
      </c>
      <c r="AE89" s="44">
        <f t="shared" si="37"/>
        <v>0</v>
      </c>
      <c r="AF89" s="44">
        <f t="shared" si="37"/>
        <v>0</v>
      </c>
      <c r="AG89" s="44">
        <f t="shared" si="37"/>
        <v>0</v>
      </c>
      <c r="AH89" s="44">
        <f t="shared" si="37"/>
        <v>0</v>
      </c>
      <c r="AI89" s="44">
        <f t="shared" si="37"/>
        <v>0</v>
      </c>
      <c r="AJ89" s="44">
        <f t="shared" si="37"/>
        <v>0</v>
      </c>
      <c r="AK89" s="44">
        <f t="shared" si="37"/>
        <v>0</v>
      </c>
      <c r="AL89" s="44">
        <f t="shared" si="37"/>
        <v>0</v>
      </c>
    </row>
    <row r="90" spans="1:38" x14ac:dyDescent="0.25">
      <c r="A90" s="45" t="s">
        <v>11</v>
      </c>
      <c r="B90" s="46">
        <f>+SUM(B70:B89)</f>
        <v>18460.939999999999</v>
      </c>
      <c r="C90" s="46"/>
      <c r="D90" s="46">
        <f ca="1">+SUM(D70:D89)</f>
        <v>4920.8200000000006</v>
      </c>
      <c r="E90" s="46">
        <f>+SUM(E70:E89)</f>
        <v>5901.0200000000013</v>
      </c>
      <c r="F90" s="48">
        <f t="shared" si="29"/>
        <v>0.31964894528664312</v>
      </c>
      <c r="G90" s="21"/>
      <c r="H90" s="46">
        <f>+SUM(H70:H89)</f>
        <v>2503.91</v>
      </c>
      <c r="I90" s="46">
        <f t="shared" ref="I90:AL90" si="38">+SUM(I70:I89)</f>
        <v>0</v>
      </c>
      <c r="J90" s="46">
        <f t="shared" si="38"/>
        <v>0</v>
      </c>
      <c r="K90" s="46">
        <f t="shared" si="38"/>
        <v>0</v>
      </c>
      <c r="L90" s="46">
        <f t="shared" si="38"/>
        <v>288.06</v>
      </c>
      <c r="M90" s="46">
        <f t="shared" si="38"/>
        <v>464.59000000000003</v>
      </c>
      <c r="N90" s="46">
        <f t="shared" si="38"/>
        <v>0</v>
      </c>
      <c r="O90" s="46">
        <f t="shared" si="38"/>
        <v>0</v>
      </c>
      <c r="P90" s="46">
        <f t="shared" si="38"/>
        <v>0</v>
      </c>
      <c r="Q90" s="46">
        <f t="shared" si="38"/>
        <v>1504.62</v>
      </c>
      <c r="R90" s="46">
        <f t="shared" si="38"/>
        <v>0</v>
      </c>
      <c r="S90" s="46">
        <f t="shared" si="38"/>
        <v>159.63999999999999</v>
      </c>
      <c r="T90" s="46">
        <f t="shared" si="38"/>
        <v>0</v>
      </c>
      <c r="U90" s="46">
        <f t="shared" si="38"/>
        <v>0</v>
      </c>
      <c r="V90" s="46">
        <f t="shared" si="38"/>
        <v>220</v>
      </c>
      <c r="W90" s="46">
        <f t="shared" si="38"/>
        <v>0</v>
      </c>
      <c r="X90" s="46">
        <f t="shared" si="38"/>
        <v>0</v>
      </c>
      <c r="Y90" s="46">
        <f t="shared" si="38"/>
        <v>0</v>
      </c>
      <c r="Z90" s="46">
        <f t="shared" si="38"/>
        <v>0</v>
      </c>
      <c r="AA90" s="46">
        <f t="shared" si="38"/>
        <v>0</v>
      </c>
      <c r="AB90" s="46">
        <f t="shared" si="38"/>
        <v>0</v>
      </c>
      <c r="AC90" s="46">
        <f t="shared" si="38"/>
        <v>0</v>
      </c>
      <c r="AD90" s="46">
        <f t="shared" si="38"/>
        <v>0</v>
      </c>
      <c r="AE90" s="46">
        <f t="shared" si="38"/>
        <v>0</v>
      </c>
      <c r="AF90" s="46">
        <f t="shared" si="38"/>
        <v>0</v>
      </c>
      <c r="AG90" s="46">
        <f t="shared" si="38"/>
        <v>236.13</v>
      </c>
      <c r="AH90" s="46">
        <f t="shared" si="38"/>
        <v>524.07000000000005</v>
      </c>
      <c r="AI90" s="46">
        <f t="shared" si="38"/>
        <v>0</v>
      </c>
      <c r="AJ90" s="46">
        <f t="shared" si="38"/>
        <v>0</v>
      </c>
      <c r="AK90" s="46">
        <f t="shared" si="38"/>
        <v>0</v>
      </c>
      <c r="AL90" s="46">
        <f t="shared" si="38"/>
        <v>0</v>
      </c>
    </row>
    <row r="91" spans="1:38" x14ac:dyDescent="0.25">
      <c r="A91" s="37"/>
      <c r="B91" s="52"/>
      <c r="C91" s="51"/>
      <c r="D91" s="51"/>
      <c r="E91" s="52"/>
      <c r="F91" s="54"/>
      <c r="G91" s="35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</row>
    <row r="92" spans="1:38" x14ac:dyDescent="0.25">
      <c r="A92" s="282">
        <f t="shared" ref="A92:A98" si="39">+SUM(H92:AL92)-B92</f>
        <v>0</v>
      </c>
      <c r="B92" s="39">
        <f>+DESP_JANEIRO!B91</f>
        <v>0</v>
      </c>
      <c r="C92" s="39">
        <f>+DESP_JANEIRO!C91</f>
        <v>0</v>
      </c>
      <c r="D92" s="40">
        <f ca="1">+DESP_JANEIRO!F91</f>
        <v>0</v>
      </c>
      <c r="E92" s="41">
        <f>+DESP_JANEIRO!D91</f>
        <v>0</v>
      </c>
      <c r="F92" s="42" t="str">
        <f>+DESP_JANEIRO!G91</f>
        <v>-</v>
      </c>
      <c r="G92" s="43">
        <f>+DESP_JANEIRO!H91</f>
        <v>0</v>
      </c>
      <c r="H92" s="44">
        <f t="shared" ref="H92:H98" si="40">+IF(H$3&gt;$D$2,0,IF(OR(C92=-1,C92=H$3),$B92,0))</f>
        <v>0</v>
      </c>
      <c r="I92" s="44">
        <f t="shared" ref="I92:W98" si="41">+IF(I$3&gt;$D$2,0,IF($C92=I$3,$B92,0))</f>
        <v>0</v>
      </c>
      <c r="J92" s="44">
        <f t="shared" si="41"/>
        <v>0</v>
      </c>
      <c r="K92" s="44">
        <f t="shared" si="41"/>
        <v>0</v>
      </c>
      <c r="L92" s="44">
        <f t="shared" si="41"/>
        <v>0</v>
      </c>
      <c r="M92" s="44">
        <f t="shared" si="41"/>
        <v>0</v>
      </c>
      <c r="N92" s="44">
        <f t="shared" si="41"/>
        <v>0</v>
      </c>
      <c r="O92" s="44">
        <f t="shared" si="41"/>
        <v>0</v>
      </c>
      <c r="P92" s="44">
        <f t="shared" si="41"/>
        <v>0</v>
      </c>
      <c r="Q92" s="44">
        <f t="shared" si="41"/>
        <v>0</v>
      </c>
      <c r="R92" s="44">
        <f t="shared" si="41"/>
        <v>0</v>
      </c>
      <c r="S92" s="44">
        <f t="shared" si="41"/>
        <v>0</v>
      </c>
      <c r="T92" s="44">
        <f t="shared" si="41"/>
        <v>0</v>
      </c>
      <c r="U92" s="44">
        <f t="shared" si="41"/>
        <v>0</v>
      </c>
      <c r="V92" s="44">
        <f t="shared" si="41"/>
        <v>0</v>
      </c>
      <c r="W92" s="44">
        <f t="shared" si="41"/>
        <v>0</v>
      </c>
      <c r="X92" s="44">
        <f t="shared" ref="X92:AL98" si="42">+IF(X$3&gt;$D$2,0,IF($C92=X$3,$B92,0))</f>
        <v>0</v>
      </c>
      <c r="Y92" s="44">
        <f t="shared" si="42"/>
        <v>0</v>
      </c>
      <c r="Z92" s="44">
        <f t="shared" si="42"/>
        <v>0</v>
      </c>
      <c r="AA92" s="44">
        <f t="shared" si="42"/>
        <v>0</v>
      </c>
      <c r="AB92" s="44">
        <f t="shared" si="42"/>
        <v>0</v>
      </c>
      <c r="AC92" s="44">
        <f t="shared" si="42"/>
        <v>0</v>
      </c>
      <c r="AD92" s="44">
        <f t="shared" si="42"/>
        <v>0</v>
      </c>
      <c r="AE92" s="44">
        <f t="shared" si="42"/>
        <v>0</v>
      </c>
      <c r="AF92" s="44">
        <f t="shared" si="42"/>
        <v>0</v>
      </c>
      <c r="AG92" s="44">
        <f t="shared" si="42"/>
        <v>0</v>
      </c>
      <c r="AH92" s="44">
        <f t="shared" si="42"/>
        <v>0</v>
      </c>
      <c r="AI92" s="44">
        <f t="shared" si="42"/>
        <v>0</v>
      </c>
      <c r="AJ92" s="44">
        <f t="shared" si="42"/>
        <v>0</v>
      </c>
      <c r="AK92" s="44">
        <f t="shared" si="42"/>
        <v>0</v>
      </c>
      <c r="AL92" s="44">
        <f t="shared" si="42"/>
        <v>0</v>
      </c>
    </row>
    <row r="93" spans="1:38" x14ac:dyDescent="0.25">
      <c r="A93" s="282">
        <f t="shared" si="39"/>
        <v>0</v>
      </c>
      <c r="B93" s="39">
        <f>+DESP_JANEIRO!B92</f>
        <v>5188</v>
      </c>
      <c r="C93" s="39">
        <f>+DESP_JANEIRO!C92</f>
        <v>5</v>
      </c>
      <c r="D93" s="40">
        <f ca="1">+DESP_JANEIRO!F92</f>
        <v>5188</v>
      </c>
      <c r="E93" s="41">
        <f>+DESP_JANEIRO!D92</f>
        <v>0</v>
      </c>
      <c r="F93" s="42">
        <f>+DESP_JANEIRO!G92</f>
        <v>0</v>
      </c>
      <c r="G93" s="43">
        <f>+DESP_JANEIRO!H92</f>
        <v>0</v>
      </c>
      <c r="H93" s="44">
        <f t="shared" si="40"/>
        <v>0</v>
      </c>
      <c r="I93" s="44">
        <f t="shared" si="41"/>
        <v>0</v>
      </c>
      <c r="J93" s="44">
        <f t="shared" si="41"/>
        <v>0</v>
      </c>
      <c r="K93" s="44">
        <f t="shared" si="41"/>
        <v>0</v>
      </c>
      <c r="L93" s="44">
        <f t="shared" si="41"/>
        <v>5188</v>
      </c>
      <c r="M93" s="44">
        <f t="shared" si="41"/>
        <v>0</v>
      </c>
      <c r="N93" s="44">
        <f t="shared" si="41"/>
        <v>0</v>
      </c>
      <c r="O93" s="44">
        <f t="shared" si="41"/>
        <v>0</v>
      </c>
      <c r="P93" s="44">
        <f t="shared" si="41"/>
        <v>0</v>
      </c>
      <c r="Q93" s="44">
        <f t="shared" si="41"/>
        <v>0</v>
      </c>
      <c r="R93" s="44">
        <f t="shared" si="41"/>
        <v>0</v>
      </c>
      <c r="S93" s="44">
        <f t="shared" si="41"/>
        <v>0</v>
      </c>
      <c r="T93" s="44">
        <f t="shared" si="41"/>
        <v>0</v>
      </c>
      <c r="U93" s="44">
        <f t="shared" si="41"/>
        <v>0</v>
      </c>
      <c r="V93" s="44">
        <f t="shared" si="41"/>
        <v>0</v>
      </c>
      <c r="W93" s="44">
        <f t="shared" si="41"/>
        <v>0</v>
      </c>
      <c r="X93" s="44">
        <f t="shared" si="42"/>
        <v>0</v>
      </c>
      <c r="Y93" s="44">
        <f t="shared" si="42"/>
        <v>0</v>
      </c>
      <c r="Z93" s="44">
        <f t="shared" si="42"/>
        <v>0</v>
      </c>
      <c r="AA93" s="44">
        <f t="shared" si="42"/>
        <v>0</v>
      </c>
      <c r="AB93" s="44">
        <f t="shared" si="42"/>
        <v>0</v>
      </c>
      <c r="AC93" s="44">
        <f t="shared" si="42"/>
        <v>0</v>
      </c>
      <c r="AD93" s="44">
        <f t="shared" si="42"/>
        <v>0</v>
      </c>
      <c r="AE93" s="44">
        <f t="shared" si="42"/>
        <v>0</v>
      </c>
      <c r="AF93" s="44">
        <f t="shared" si="42"/>
        <v>0</v>
      </c>
      <c r="AG93" s="44">
        <f t="shared" si="42"/>
        <v>0</v>
      </c>
      <c r="AH93" s="44">
        <f t="shared" si="42"/>
        <v>0</v>
      </c>
      <c r="AI93" s="44">
        <f t="shared" si="42"/>
        <v>0</v>
      </c>
      <c r="AJ93" s="44">
        <f t="shared" si="42"/>
        <v>0</v>
      </c>
      <c r="AK93" s="44">
        <f t="shared" si="42"/>
        <v>0</v>
      </c>
      <c r="AL93" s="44">
        <f t="shared" si="42"/>
        <v>0</v>
      </c>
    </row>
    <row r="94" spans="1:38" x14ac:dyDescent="0.25">
      <c r="A94" s="282">
        <f t="shared" si="39"/>
        <v>-1709</v>
      </c>
      <c r="B94" s="39">
        <f>+DESP_JANEIRO!B93</f>
        <v>1709</v>
      </c>
      <c r="C94" s="39">
        <f>+DESP_JANEIRO!C93</f>
        <v>0</v>
      </c>
      <c r="D94" s="40">
        <f ca="1">+DESP_JANEIRO!F93</f>
        <v>0</v>
      </c>
      <c r="E94" s="41">
        <f>+DESP_JANEIRO!D93</f>
        <v>0</v>
      </c>
      <c r="F94" s="42">
        <f>+DESP_JANEIRO!G93</f>
        <v>0</v>
      </c>
      <c r="G94" s="43">
        <f>+DESP_JANEIRO!H93</f>
        <v>0</v>
      </c>
      <c r="H94" s="44">
        <f t="shared" si="40"/>
        <v>0</v>
      </c>
      <c r="I94" s="44">
        <f t="shared" si="41"/>
        <v>0</v>
      </c>
      <c r="J94" s="44">
        <f t="shared" si="41"/>
        <v>0</v>
      </c>
      <c r="K94" s="44">
        <f t="shared" si="41"/>
        <v>0</v>
      </c>
      <c r="L94" s="44">
        <f t="shared" si="41"/>
        <v>0</v>
      </c>
      <c r="M94" s="44">
        <f t="shared" si="41"/>
        <v>0</v>
      </c>
      <c r="N94" s="44">
        <f t="shared" si="41"/>
        <v>0</v>
      </c>
      <c r="O94" s="44">
        <f t="shared" si="41"/>
        <v>0</v>
      </c>
      <c r="P94" s="44">
        <f t="shared" si="41"/>
        <v>0</v>
      </c>
      <c r="Q94" s="44">
        <f t="shared" si="41"/>
        <v>0</v>
      </c>
      <c r="R94" s="44">
        <f t="shared" si="41"/>
        <v>0</v>
      </c>
      <c r="S94" s="44">
        <f t="shared" si="41"/>
        <v>0</v>
      </c>
      <c r="T94" s="44">
        <f t="shared" si="41"/>
        <v>0</v>
      </c>
      <c r="U94" s="44">
        <f t="shared" si="41"/>
        <v>0</v>
      </c>
      <c r="V94" s="44">
        <f t="shared" si="41"/>
        <v>0</v>
      </c>
      <c r="W94" s="44">
        <f t="shared" si="41"/>
        <v>0</v>
      </c>
      <c r="X94" s="44">
        <f t="shared" si="42"/>
        <v>0</v>
      </c>
      <c r="Y94" s="44">
        <f t="shared" si="42"/>
        <v>0</v>
      </c>
      <c r="Z94" s="44">
        <f t="shared" si="42"/>
        <v>0</v>
      </c>
      <c r="AA94" s="44">
        <f t="shared" si="42"/>
        <v>0</v>
      </c>
      <c r="AB94" s="44">
        <f t="shared" si="42"/>
        <v>0</v>
      </c>
      <c r="AC94" s="44">
        <f t="shared" si="42"/>
        <v>0</v>
      </c>
      <c r="AD94" s="44">
        <f t="shared" si="42"/>
        <v>0</v>
      </c>
      <c r="AE94" s="44">
        <f t="shared" si="42"/>
        <v>0</v>
      </c>
      <c r="AF94" s="44">
        <f t="shared" si="42"/>
        <v>0</v>
      </c>
      <c r="AG94" s="44">
        <f t="shared" si="42"/>
        <v>0</v>
      </c>
      <c r="AH94" s="44">
        <f t="shared" si="42"/>
        <v>0</v>
      </c>
      <c r="AI94" s="44">
        <f t="shared" si="42"/>
        <v>0</v>
      </c>
      <c r="AJ94" s="44">
        <f t="shared" si="42"/>
        <v>0</v>
      </c>
      <c r="AK94" s="44">
        <f t="shared" si="42"/>
        <v>0</v>
      </c>
      <c r="AL94" s="44">
        <f t="shared" si="42"/>
        <v>0</v>
      </c>
    </row>
    <row r="95" spans="1:38" x14ac:dyDescent="0.25">
      <c r="A95" s="282">
        <f t="shared" si="39"/>
        <v>0</v>
      </c>
      <c r="B95" s="39">
        <f>+DESP_JANEIRO!B94</f>
        <v>3099</v>
      </c>
      <c r="C95" s="39">
        <f>+DESP_JANEIRO!C94</f>
        <v>26</v>
      </c>
      <c r="D95" s="40">
        <f ca="1">+DESP_JANEIRO!F94</f>
        <v>0</v>
      </c>
      <c r="E95" s="41">
        <f>+DESP_JANEIRO!D94</f>
        <v>0</v>
      </c>
      <c r="F95" s="42">
        <f>+DESP_JANEIRO!G94</f>
        <v>0</v>
      </c>
      <c r="G95" s="43">
        <f>+DESP_JANEIRO!H94</f>
        <v>0</v>
      </c>
      <c r="H95" s="44">
        <f t="shared" si="40"/>
        <v>0</v>
      </c>
      <c r="I95" s="44">
        <f t="shared" si="41"/>
        <v>0</v>
      </c>
      <c r="J95" s="44">
        <f t="shared" si="41"/>
        <v>0</v>
      </c>
      <c r="K95" s="44">
        <f t="shared" si="41"/>
        <v>0</v>
      </c>
      <c r="L95" s="44">
        <f t="shared" si="41"/>
        <v>0</v>
      </c>
      <c r="M95" s="44">
        <f t="shared" si="41"/>
        <v>0</v>
      </c>
      <c r="N95" s="44">
        <f t="shared" si="41"/>
        <v>0</v>
      </c>
      <c r="O95" s="44">
        <f t="shared" si="41"/>
        <v>0</v>
      </c>
      <c r="P95" s="44">
        <f t="shared" si="41"/>
        <v>0</v>
      </c>
      <c r="Q95" s="44">
        <f t="shared" si="41"/>
        <v>0</v>
      </c>
      <c r="R95" s="44">
        <f t="shared" si="41"/>
        <v>0</v>
      </c>
      <c r="S95" s="44">
        <f t="shared" si="41"/>
        <v>0</v>
      </c>
      <c r="T95" s="44">
        <f t="shared" si="41"/>
        <v>0</v>
      </c>
      <c r="U95" s="44">
        <f t="shared" si="41"/>
        <v>0</v>
      </c>
      <c r="V95" s="44">
        <f t="shared" si="41"/>
        <v>0</v>
      </c>
      <c r="W95" s="44">
        <f t="shared" si="41"/>
        <v>0</v>
      </c>
      <c r="X95" s="44">
        <f t="shared" si="42"/>
        <v>0</v>
      </c>
      <c r="Y95" s="44">
        <f t="shared" si="42"/>
        <v>0</v>
      </c>
      <c r="Z95" s="44">
        <f t="shared" si="42"/>
        <v>0</v>
      </c>
      <c r="AA95" s="44">
        <f t="shared" si="42"/>
        <v>0</v>
      </c>
      <c r="AB95" s="44">
        <f t="shared" si="42"/>
        <v>0</v>
      </c>
      <c r="AC95" s="44">
        <f t="shared" si="42"/>
        <v>0</v>
      </c>
      <c r="AD95" s="44">
        <f t="shared" si="42"/>
        <v>0</v>
      </c>
      <c r="AE95" s="44">
        <f t="shared" si="42"/>
        <v>0</v>
      </c>
      <c r="AF95" s="44">
        <f t="shared" si="42"/>
        <v>0</v>
      </c>
      <c r="AG95" s="44">
        <f t="shared" si="42"/>
        <v>3099</v>
      </c>
      <c r="AH95" s="44">
        <f t="shared" si="42"/>
        <v>0</v>
      </c>
      <c r="AI95" s="44">
        <f t="shared" si="42"/>
        <v>0</v>
      </c>
      <c r="AJ95" s="44">
        <f t="shared" si="42"/>
        <v>0</v>
      </c>
      <c r="AK95" s="44">
        <f t="shared" si="42"/>
        <v>0</v>
      </c>
      <c r="AL95" s="44">
        <f t="shared" si="42"/>
        <v>0</v>
      </c>
    </row>
    <row r="96" spans="1:38" x14ac:dyDescent="0.25">
      <c r="A96" s="282">
        <f t="shared" si="39"/>
        <v>0</v>
      </c>
      <c r="B96" s="39">
        <f>+DESP_JANEIRO!B95</f>
        <v>0</v>
      </c>
      <c r="C96" s="39">
        <f>+DESP_JANEIRO!C95</f>
        <v>0</v>
      </c>
      <c r="D96" s="40">
        <f ca="1">+DESP_JANEIRO!F95</f>
        <v>0</v>
      </c>
      <c r="E96" s="41">
        <f>+DESP_JANEIRO!D95</f>
        <v>0</v>
      </c>
      <c r="F96" s="42" t="str">
        <f>+DESP_JANEIRO!G95</f>
        <v>-</v>
      </c>
      <c r="G96" s="43">
        <f>+DESP_JANEIRO!H95</f>
        <v>0</v>
      </c>
      <c r="H96" s="44">
        <f t="shared" si="40"/>
        <v>0</v>
      </c>
      <c r="I96" s="44">
        <f t="shared" si="41"/>
        <v>0</v>
      </c>
      <c r="J96" s="44">
        <f t="shared" si="41"/>
        <v>0</v>
      </c>
      <c r="K96" s="44">
        <f t="shared" si="41"/>
        <v>0</v>
      </c>
      <c r="L96" s="44">
        <f t="shared" si="41"/>
        <v>0</v>
      </c>
      <c r="M96" s="44">
        <f t="shared" si="41"/>
        <v>0</v>
      </c>
      <c r="N96" s="44">
        <f t="shared" si="41"/>
        <v>0</v>
      </c>
      <c r="O96" s="44">
        <f t="shared" si="41"/>
        <v>0</v>
      </c>
      <c r="P96" s="44">
        <f t="shared" si="41"/>
        <v>0</v>
      </c>
      <c r="Q96" s="44">
        <f t="shared" si="41"/>
        <v>0</v>
      </c>
      <c r="R96" s="44">
        <f t="shared" si="41"/>
        <v>0</v>
      </c>
      <c r="S96" s="44">
        <f t="shared" si="41"/>
        <v>0</v>
      </c>
      <c r="T96" s="44">
        <f t="shared" si="41"/>
        <v>0</v>
      </c>
      <c r="U96" s="44">
        <f t="shared" si="41"/>
        <v>0</v>
      </c>
      <c r="V96" s="44">
        <f t="shared" si="41"/>
        <v>0</v>
      </c>
      <c r="W96" s="44">
        <f t="shared" si="41"/>
        <v>0</v>
      </c>
      <c r="X96" s="44">
        <f t="shared" si="42"/>
        <v>0</v>
      </c>
      <c r="Y96" s="44">
        <f t="shared" si="42"/>
        <v>0</v>
      </c>
      <c r="Z96" s="44">
        <f t="shared" si="42"/>
        <v>0</v>
      </c>
      <c r="AA96" s="44">
        <f t="shared" si="42"/>
        <v>0</v>
      </c>
      <c r="AB96" s="44">
        <f t="shared" si="42"/>
        <v>0</v>
      </c>
      <c r="AC96" s="44">
        <f t="shared" si="42"/>
        <v>0</v>
      </c>
      <c r="AD96" s="44">
        <f t="shared" si="42"/>
        <v>0</v>
      </c>
      <c r="AE96" s="44">
        <f t="shared" si="42"/>
        <v>0</v>
      </c>
      <c r="AF96" s="44">
        <f t="shared" si="42"/>
        <v>0</v>
      </c>
      <c r="AG96" s="44">
        <f t="shared" si="42"/>
        <v>0</v>
      </c>
      <c r="AH96" s="44">
        <f t="shared" si="42"/>
        <v>0</v>
      </c>
      <c r="AI96" s="44">
        <f t="shared" si="42"/>
        <v>0</v>
      </c>
      <c r="AJ96" s="44">
        <f t="shared" si="42"/>
        <v>0</v>
      </c>
      <c r="AK96" s="44">
        <f t="shared" si="42"/>
        <v>0</v>
      </c>
      <c r="AL96" s="44">
        <f t="shared" si="42"/>
        <v>0</v>
      </c>
    </row>
    <row r="97" spans="1:38" x14ac:dyDescent="0.25">
      <c r="A97" s="282">
        <f t="shared" si="39"/>
        <v>0</v>
      </c>
      <c r="B97" s="39">
        <f>+DESP_JANEIRO!B96</f>
        <v>0</v>
      </c>
      <c r="C97" s="39">
        <f>+DESP_JANEIRO!C96</f>
        <v>0</v>
      </c>
      <c r="D97" s="40">
        <f ca="1">+DESP_JANEIRO!F96</f>
        <v>0</v>
      </c>
      <c r="E97" s="41">
        <f>+DESP_JANEIRO!D96</f>
        <v>0</v>
      </c>
      <c r="F97" s="42" t="str">
        <f>+DESP_JANEIRO!G96</f>
        <v>-</v>
      </c>
      <c r="G97" s="43">
        <f>+DESP_JANEIRO!H96</f>
        <v>0</v>
      </c>
      <c r="H97" s="44">
        <f t="shared" si="40"/>
        <v>0</v>
      </c>
      <c r="I97" s="44">
        <f t="shared" si="41"/>
        <v>0</v>
      </c>
      <c r="J97" s="44">
        <f t="shared" si="41"/>
        <v>0</v>
      </c>
      <c r="K97" s="44">
        <f t="shared" si="41"/>
        <v>0</v>
      </c>
      <c r="L97" s="44">
        <f t="shared" si="41"/>
        <v>0</v>
      </c>
      <c r="M97" s="44">
        <f t="shared" si="41"/>
        <v>0</v>
      </c>
      <c r="N97" s="44">
        <f t="shared" si="41"/>
        <v>0</v>
      </c>
      <c r="O97" s="44">
        <f t="shared" si="41"/>
        <v>0</v>
      </c>
      <c r="P97" s="44">
        <f t="shared" si="41"/>
        <v>0</v>
      </c>
      <c r="Q97" s="44">
        <f t="shared" si="41"/>
        <v>0</v>
      </c>
      <c r="R97" s="44">
        <f t="shared" si="41"/>
        <v>0</v>
      </c>
      <c r="S97" s="44">
        <f t="shared" si="41"/>
        <v>0</v>
      </c>
      <c r="T97" s="44">
        <f t="shared" si="41"/>
        <v>0</v>
      </c>
      <c r="U97" s="44">
        <f t="shared" si="41"/>
        <v>0</v>
      </c>
      <c r="V97" s="44">
        <f t="shared" si="41"/>
        <v>0</v>
      </c>
      <c r="W97" s="44">
        <f t="shared" si="41"/>
        <v>0</v>
      </c>
      <c r="X97" s="44">
        <f t="shared" si="42"/>
        <v>0</v>
      </c>
      <c r="Y97" s="44">
        <f t="shared" si="42"/>
        <v>0</v>
      </c>
      <c r="Z97" s="44">
        <f t="shared" si="42"/>
        <v>0</v>
      </c>
      <c r="AA97" s="44">
        <f t="shared" si="42"/>
        <v>0</v>
      </c>
      <c r="AB97" s="44">
        <f t="shared" si="42"/>
        <v>0</v>
      </c>
      <c r="AC97" s="44">
        <f t="shared" si="42"/>
        <v>0</v>
      </c>
      <c r="AD97" s="44">
        <f t="shared" si="42"/>
        <v>0</v>
      </c>
      <c r="AE97" s="44">
        <f t="shared" si="42"/>
        <v>0</v>
      </c>
      <c r="AF97" s="44">
        <f t="shared" si="42"/>
        <v>0</v>
      </c>
      <c r="AG97" s="44">
        <f t="shared" si="42"/>
        <v>0</v>
      </c>
      <c r="AH97" s="44">
        <f t="shared" si="42"/>
        <v>0</v>
      </c>
      <c r="AI97" s="44">
        <f t="shared" si="42"/>
        <v>0</v>
      </c>
      <c r="AJ97" s="44">
        <f t="shared" si="42"/>
        <v>0</v>
      </c>
      <c r="AK97" s="44">
        <f t="shared" si="42"/>
        <v>0</v>
      </c>
      <c r="AL97" s="44">
        <f t="shared" si="42"/>
        <v>0</v>
      </c>
    </row>
    <row r="98" spans="1:38" x14ac:dyDescent="0.25">
      <c r="A98" s="282">
        <f t="shared" si="39"/>
        <v>0</v>
      </c>
      <c r="B98" s="39">
        <f>+DESP_JANEIRO!B97</f>
        <v>0</v>
      </c>
      <c r="C98" s="39">
        <f>+DESP_JANEIRO!C97</f>
        <v>0</v>
      </c>
      <c r="D98" s="40">
        <f ca="1">+DESP_JANEIRO!F97</f>
        <v>0</v>
      </c>
      <c r="E98" s="41">
        <f>+DESP_JANEIRO!D97</f>
        <v>0</v>
      </c>
      <c r="F98" s="42" t="str">
        <f>+DESP_JANEIRO!G97</f>
        <v>-</v>
      </c>
      <c r="G98" s="43">
        <f>+DESP_JANEIRO!H97</f>
        <v>0</v>
      </c>
      <c r="H98" s="44">
        <f t="shared" si="40"/>
        <v>0</v>
      </c>
      <c r="I98" s="44">
        <f t="shared" si="41"/>
        <v>0</v>
      </c>
      <c r="J98" s="44">
        <f t="shared" si="41"/>
        <v>0</v>
      </c>
      <c r="K98" s="44">
        <f t="shared" si="41"/>
        <v>0</v>
      </c>
      <c r="L98" s="44">
        <f t="shared" si="41"/>
        <v>0</v>
      </c>
      <c r="M98" s="44">
        <f t="shared" si="41"/>
        <v>0</v>
      </c>
      <c r="N98" s="44">
        <f t="shared" si="41"/>
        <v>0</v>
      </c>
      <c r="O98" s="44">
        <f t="shared" si="41"/>
        <v>0</v>
      </c>
      <c r="P98" s="44">
        <f t="shared" si="41"/>
        <v>0</v>
      </c>
      <c r="Q98" s="44">
        <f t="shared" si="41"/>
        <v>0</v>
      </c>
      <c r="R98" s="44">
        <f t="shared" si="41"/>
        <v>0</v>
      </c>
      <c r="S98" s="44">
        <f t="shared" si="41"/>
        <v>0</v>
      </c>
      <c r="T98" s="44">
        <f t="shared" si="41"/>
        <v>0</v>
      </c>
      <c r="U98" s="44">
        <f t="shared" si="41"/>
        <v>0</v>
      </c>
      <c r="V98" s="44">
        <f t="shared" si="41"/>
        <v>0</v>
      </c>
      <c r="W98" s="44">
        <f t="shared" si="41"/>
        <v>0</v>
      </c>
      <c r="X98" s="44">
        <f t="shared" si="42"/>
        <v>0</v>
      </c>
      <c r="Y98" s="44">
        <f t="shared" si="42"/>
        <v>0</v>
      </c>
      <c r="Z98" s="44">
        <f t="shared" si="42"/>
        <v>0</v>
      </c>
      <c r="AA98" s="44">
        <f t="shared" si="42"/>
        <v>0</v>
      </c>
      <c r="AB98" s="44">
        <f t="shared" si="42"/>
        <v>0</v>
      </c>
      <c r="AC98" s="44">
        <f t="shared" si="42"/>
        <v>0</v>
      </c>
      <c r="AD98" s="44">
        <f t="shared" si="42"/>
        <v>0</v>
      </c>
      <c r="AE98" s="44">
        <f t="shared" si="42"/>
        <v>0</v>
      </c>
      <c r="AF98" s="44">
        <f t="shared" si="42"/>
        <v>0</v>
      </c>
      <c r="AG98" s="44">
        <f t="shared" si="42"/>
        <v>0</v>
      </c>
      <c r="AH98" s="44">
        <f t="shared" si="42"/>
        <v>0</v>
      </c>
      <c r="AI98" s="44">
        <f t="shared" si="42"/>
        <v>0</v>
      </c>
      <c r="AJ98" s="44">
        <f t="shared" si="42"/>
        <v>0</v>
      </c>
      <c r="AK98" s="44">
        <f t="shared" si="42"/>
        <v>0</v>
      </c>
      <c r="AL98" s="44">
        <f t="shared" si="42"/>
        <v>0</v>
      </c>
    </row>
    <row r="99" spans="1:38" x14ac:dyDescent="0.25">
      <c r="A99" s="45" t="s">
        <v>11</v>
      </c>
      <c r="B99" s="46">
        <f>+SUM(B92:B98)-B95</f>
        <v>6897</v>
      </c>
      <c r="C99" s="46"/>
      <c r="D99" s="46">
        <f ca="1">+SUM(D92:D98)</f>
        <v>5188</v>
      </c>
      <c r="E99" s="46">
        <f>+SUM(E92:E98)</f>
        <v>0</v>
      </c>
      <c r="F99" s="48">
        <f t="shared" ref="F99" si="43">+IF(B99=0,"-",E99/B99)</f>
        <v>0</v>
      </c>
      <c r="G99" s="21"/>
      <c r="H99" s="46">
        <f>+SUM(H92:H98)</f>
        <v>0</v>
      </c>
      <c r="I99" s="46">
        <f t="shared" ref="I99:AL99" si="44">+SUM(I92:I98)</f>
        <v>0</v>
      </c>
      <c r="J99" s="46">
        <f t="shared" si="44"/>
        <v>0</v>
      </c>
      <c r="K99" s="46">
        <f t="shared" si="44"/>
        <v>0</v>
      </c>
      <c r="L99" s="46">
        <f t="shared" si="44"/>
        <v>5188</v>
      </c>
      <c r="M99" s="46">
        <f t="shared" si="44"/>
        <v>0</v>
      </c>
      <c r="N99" s="46">
        <f t="shared" si="44"/>
        <v>0</v>
      </c>
      <c r="O99" s="46">
        <f t="shared" si="44"/>
        <v>0</v>
      </c>
      <c r="P99" s="46">
        <f t="shared" si="44"/>
        <v>0</v>
      </c>
      <c r="Q99" s="46">
        <f t="shared" si="44"/>
        <v>0</v>
      </c>
      <c r="R99" s="46">
        <f t="shared" si="44"/>
        <v>0</v>
      </c>
      <c r="S99" s="46">
        <f t="shared" si="44"/>
        <v>0</v>
      </c>
      <c r="T99" s="46">
        <f t="shared" si="44"/>
        <v>0</v>
      </c>
      <c r="U99" s="46">
        <f t="shared" si="44"/>
        <v>0</v>
      </c>
      <c r="V99" s="46">
        <f t="shared" si="44"/>
        <v>0</v>
      </c>
      <c r="W99" s="46">
        <f t="shared" si="44"/>
        <v>0</v>
      </c>
      <c r="X99" s="46">
        <f t="shared" si="44"/>
        <v>0</v>
      </c>
      <c r="Y99" s="46">
        <f t="shared" si="44"/>
        <v>0</v>
      </c>
      <c r="Z99" s="46">
        <f t="shared" si="44"/>
        <v>0</v>
      </c>
      <c r="AA99" s="46">
        <f t="shared" si="44"/>
        <v>0</v>
      </c>
      <c r="AB99" s="46">
        <f t="shared" si="44"/>
        <v>0</v>
      </c>
      <c r="AC99" s="46">
        <f t="shared" si="44"/>
        <v>0</v>
      </c>
      <c r="AD99" s="46">
        <f t="shared" si="44"/>
        <v>0</v>
      </c>
      <c r="AE99" s="46">
        <f t="shared" si="44"/>
        <v>0</v>
      </c>
      <c r="AF99" s="46">
        <f t="shared" si="44"/>
        <v>0</v>
      </c>
      <c r="AG99" s="46">
        <f t="shared" si="44"/>
        <v>3099</v>
      </c>
      <c r="AH99" s="46">
        <f t="shared" si="44"/>
        <v>0</v>
      </c>
      <c r="AI99" s="46">
        <f t="shared" si="44"/>
        <v>0</v>
      </c>
      <c r="AJ99" s="46">
        <f t="shared" si="44"/>
        <v>0</v>
      </c>
      <c r="AK99" s="46">
        <f t="shared" si="44"/>
        <v>0</v>
      </c>
      <c r="AL99" s="46">
        <f t="shared" si="44"/>
        <v>0</v>
      </c>
    </row>
    <row r="100" spans="1:38" x14ac:dyDescent="0.25">
      <c r="A100" s="37"/>
      <c r="B100" s="52"/>
      <c r="C100" s="51"/>
      <c r="D100" s="55"/>
      <c r="E100" s="52"/>
      <c r="F100" s="54"/>
      <c r="G100" s="35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</row>
    <row r="101" spans="1:38" x14ac:dyDescent="0.25">
      <c r="A101" s="282">
        <f t="shared" ref="A101:A104" si="45">+SUM(H101:AL101)-B101</f>
        <v>0</v>
      </c>
      <c r="B101" s="39">
        <f>+DESP_JANEIRO!B100</f>
        <v>10606.05</v>
      </c>
      <c r="C101" s="39">
        <f>+DESP_JANEIRO!C100</f>
        <v>8</v>
      </c>
      <c r="D101" s="40">
        <f ca="1">+DESP_JANEIRO!F100</f>
        <v>10606.05</v>
      </c>
      <c r="E101" s="41">
        <f>+DESP_JANEIRO!D100</f>
        <v>0</v>
      </c>
      <c r="F101" s="42">
        <f>+DESP_JANEIRO!G100</f>
        <v>0</v>
      </c>
      <c r="G101" s="43">
        <f>+DESP_JANEIRO!H100</f>
        <v>0</v>
      </c>
      <c r="H101" s="44">
        <f t="shared" ref="H101:H104" si="46">+IF(H$3&gt;$D$2,0,IF(OR(C101=-1,C101=H$3),$B101,0))</f>
        <v>0</v>
      </c>
      <c r="I101" s="44">
        <f t="shared" ref="I101:W104" si="47">+IF(I$3&gt;$D$2,0,IF($C101=I$3,$B101,0))</f>
        <v>0</v>
      </c>
      <c r="J101" s="44">
        <f t="shared" si="47"/>
        <v>0</v>
      </c>
      <c r="K101" s="44">
        <f t="shared" si="47"/>
        <v>0</v>
      </c>
      <c r="L101" s="44">
        <f t="shared" si="47"/>
        <v>0</v>
      </c>
      <c r="M101" s="44">
        <f t="shared" si="47"/>
        <v>0</v>
      </c>
      <c r="N101" s="44">
        <f t="shared" si="47"/>
        <v>0</v>
      </c>
      <c r="O101" s="44">
        <f t="shared" si="47"/>
        <v>10606.05</v>
      </c>
      <c r="P101" s="44">
        <f t="shared" si="47"/>
        <v>0</v>
      </c>
      <c r="Q101" s="44">
        <f t="shared" si="47"/>
        <v>0</v>
      </c>
      <c r="R101" s="44">
        <f t="shared" si="47"/>
        <v>0</v>
      </c>
      <c r="S101" s="44">
        <f t="shared" si="47"/>
        <v>0</v>
      </c>
      <c r="T101" s="44">
        <f t="shared" si="47"/>
        <v>0</v>
      </c>
      <c r="U101" s="44">
        <f t="shared" si="47"/>
        <v>0</v>
      </c>
      <c r="V101" s="44">
        <f t="shared" si="47"/>
        <v>0</v>
      </c>
      <c r="W101" s="44">
        <f t="shared" si="47"/>
        <v>0</v>
      </c>
      <c r="X101" s="44">
        <f t="shared" ref="X101:AL104" si="48">+IF(X$3&gt;$D$2,0,IF($C101=X$3,$B101,0))</f>
        <v>0</v>
      </c>
      <c r="Y101" s="44">
        <f t="shared" si="48"/>
        <v>0</v>
      </c>
      <c r="Z101" s="44">
        <f t="shared" si="48"/>
        <v>0</v>
      </c>
      <c r="AA101" s="44">
        <f t="shared" si="48"/>
        <v>0</v>
      </c>
      <c r="AB101" s="44">
        <f t="shared" si="48"/>
        <v>0</v>
      </c>
      <c r="AC101" s="44">
        <f t="shared" si="48"/>
        <v>0</v>
      </c>
      <c r="AD101" s="44">
        <f t="shared" si="48"/>
        <v>0</v>
      </c>
      <c r="AE101" s="44">
        <f t="shared" si="48"/>
        <v>0</v>
      </c>
      <c r="AF101" s="44">
        <f t="shared" si="48"/>
        <v>0</v>
      </c>
      <c r="AG101" s="44">
        <f t="shared" si="48"/>
        <v>0</v>
      </c>
      <c r="AH101" s="44">
        <f t="shared" si="48"/>
        <v>0</v>
      </c>
      <c r="AI101" s="44">
        <f t="shared" si="48"/>
        <v>0</v>
      </c>
      <c r="AJ101" s="44">
        <f t="shared" si="48"/>
        <v>0</v>
      </c>
      <c r="AK101" s="44">
        <f t="shared" si="48"/>
        <v>0</v>
      </c>
      <c r="AL101" s="44">
        <f t="shared" si="48"/>
        <v>0</v>
      </c>
    </row>
    <row r="102" spans="1:38" x14ac:dyDescent="0.25">
      <c r="A102" s="282">
        <f t="shared" si="45"/>
        <v>0</v>
      </c>
      <c r="B102" s="39">
        <f>+DESP_JANEIRO!B101</f>
        <v>3030.3</v>
      </c>
      <c r="C102" s="39">
        <f>+DESP_JANEIRO!C101</f>
        <v>11</v>
      </c>
      <c r="D102" s="40">
        <f ca="1">+DESP_JANEIRO!F101</f>
        <v>3030.3</v>
      </c>
      <c r="E102" s="41">
        <f>+DESP_JANEIRO!D101</f>
        <v>0</v>
      </c>
      <c r="F102" s="42">
        <f>+DESP_JANEIRO!G101</f>
        <v>0</v>
      </c>
      <c r="G102" s="43">
        <f>+DESP_JANEIRO!H101</f>
        <v>0</v>
      </c>
      <c r="H102" s="44">
        <f t="shared" si="46"/>
        <v>0</v>
      </c>
      <c r="I102" s="44">
        <f t="shared" si="47"/>
        <v>0</v>
      </c>
      <c r="J102" s="44">
        <f t="shared" si="47"/>
        <v>0</v>
      </c>
      <c r="K102" s="44">
        <f t="shared" si="47"/>
        <v>0</v>
      </c>
      <c r="L102" s="44">
        <f t="shared" si="47"/>
        <v>0</v>
      </c>
      <c r="M102" s="44">
        <f t="shared" si="47"/>
        <v>0</v>
      </c>
      <c r="N102" s="44">
        <f t="shared" si="47"/>
        <v>0</v>
      </c>
      <c r="O102" s="44">
        <f t="shared" si="47"/>
        <v>0</v>
      </c>
      <c r="P102" s="44">
        <f t="shared" si="47"/>
        <v>0</v>
      </c>
      <c r="Q102" s="44">
        <f t="shared" si="47"/>
        <v>0</v>
      </c>
      <c r="R102" s="44">
        <f t="shared" si="47"/>
        <v>3030.3</v>
      </c>
      <c r="S102" s="44">
        <f t="shared" si="47"/>
        <v>0</v>
      </c>
      <c r="T102" s="44">
        <f t="shared" si="47"/>
        <v>0</v>
      </c>
      <c r="U102" s="44">
        <f t="shared" si="47"/>
        <v>0</v>
      </c>
      <c r="V102" s="44">
        <f t="shared" si="47"/>
        <v>0</v>
      </c>
      <c r="W102" s="44">
        <f t="shared" si="47"/>
        <v>0</v>
      </c>
      <c r="X102" s="44">
        <f t="shared" si="48"/>
        <v>0</v>
      </c>
      <c r="Y102" s="44">
        <f t="shared" si="48"/>
        <v>0</v>
      </c>
      <c r="Z102" s="44">
        <f t="shared" si="48"/>
        <v>0</v>
      </c>
      <c r="AA102" s="44">
        <f t="shared" si="48"/>
        <v>0</v>
      </c>
      <c r="AB102" s="44">
        <f t="shared" si="48"/>
        <v>0</v>
      </c>
      <c r="AC102" s="44">
        <f t="shared" si="48"/>
        <v>0</v>
      </c>
      <c r="AD102" s="44">
        <f t="shared" si="48"/>
        <v>0</v>
      </c>
      <c r="AE102" s="44">
        <f t="shared" si="48"/>
        <v>0</v>
      </c>
      <c r="AF102" s="44">
        <f t="shared" si="48"/>
        <v>0</v>
      </c>
      <c r="AG102" s="44">
        <f t="shared" si="48"/>
        <v>0</v>
      </c>
      <c r="AH102" s="44">
        <f t="shared" si="48"/>
        <v>0</v>
      </c>
      <c r="AI102" s="44">
        <f t="shared" si="48"/>
        <v>0</v>
      </c>
      <c r="AJ102" s="44">
        <f t="shared" si="48"/>
        <v>0</v>
      </c>
      <c r="AK102" s="44">
        <f t="shared" si="48"/>
        <v>0</v>
      </c>
      <c r="AL102" s="44">
        <f t="shared" si="48"/>
        <v>0</v>
      </c>
    </row>
    <row r="103" spans="1:38" x14ac:dyDescent="0.25">
      <c r="A103" s="282">
        <f t="shared" si="45"/>
        <v>0</v>
      </c>
      <c r="B103" s="39">
        <f>+DESP_JANEIRO!B102</f>
        <v>0</v>
      </c>
      <c r="C103" s="39">
        <f>+DESP_JANEIRO!C102</f>
        <v>0</v>
      </c>
      <c r="D103" s="40">
        <f ca="1">+DESP_JANEIRO!F102</f>
        <v>0</v>
      </c>
      <c r="E103" s="41">
        <f>+DESP_JANEIRO!D102</f>
        <v>0</v>
      </c>
      <c r="F103" s="42" t="str">
        <f>+DESP_JANEIRO!G102</f>
        <v>-</v>
      </c>
      <c r="G103" s="43">
        <f>+DESP_JANEIRO!H102</f>
        <v>0</v>
      </c>
      <c r="H103" s="44">
        <f t="shared" si="46"/>
        <v>0</v>
      </c>
      <c r="I103" s="44">
        <f t="shared" si="47"/>
        <v>0</v>
      </c>
      <c r="J103" s="44">
        <f t="shared" si="47"/>
        <v>0</v>
      </c>
      <c r="K103" s="44">
        <f t="shared" si="47"/>
        <v>0</v>
      </c>
      <c r="L103" s="44">
        <f t="shared" si="47"/>
        <v>0</v>
      </c>
      <c r="M103" s="44">
        <f t="shared" si="47"/>
        <v>0</v>
      </c>
      <c r="N103" s="44">
        <f t="shared" si="47"/>
        <v>0</v>
      </c>
      <c r="O103" s="44">
        <f t="shared" si="47"/>
        <v>0</v>
      </c>
      <c r="P103" s="44">
        <f t="shared" si="47"/>
        <v>0</v>
      </c>
      <c r="Q103" s="44">
        <f t="shared" si="47"/>
        <v>0</v>
      </c>
      <c r="R103" s="44">
        <f t="shared" si="47"/>
        <v>0</v>
      </c>
      <c r="S103" s="44">
        <f t="shared" si="47"/>
        <v>0</v>
      </c>
      <c r="T103" s="44">
        <f t="shared" si="47"/>
        <v>0</v>
      </c>
      <c r="U103" s="44">
        <f t="shared" si="47"/>
        <v>0</v>
      </c>
      <c r="V103" s="44">
        <f t="shared" si="47"/>
        <v>0</v>
      </c>
      <c r="W103" s="44">
        <f t="shared" si="47"/>
        <v>0</v>
      </c>
      <c r="X103" s="44">
        <f t="shared" si="48"/>
        <v>0</v>
      </c>
      <c r="Y103" s="44">
        <f t="shared" si="48"/>
        <v>0</v>
      </c>
      <c r="Z103" s="44">
        <f t="shared" si="48"/>
        <v>0</v>
      </c>
      <c r="AA103" s="44">
        <f t="shared" si="48"/>
        <v>0</v>
      </c>
      <c r="AB103" s="44">
        <f t="shared" si="48"/>
        <v>0</v>
      </c>
      <c r="AC103" s="44">
        <f t="shared" si="48"/>
        <v>0</v>
      </c>
      <c r="AD103" s="44">
        <f t="shared" si="48"/>
        <v>0</v>
      </c>
      <c r="AE103" s="44">
        <f t="shared" si="48"/>
        <v>0</v>
      </c>
      <c r="AF103" s="44">
        <f t="shared" si="48"/>
        <v>0</v>
      </c>
      <c r="AG103" s="44">
        <f t="shared" si="48"/>
        <v>0</v>
      </c>
      <c r="AH103" s="44">
        <f t="shared" si="48"/>
        <v>0</v>
      </c>
      <c r="AI103" s="44">
        <f t="shared" si="48"/>
        <v>0</v>
      </c>
      <c r="AJ103" s="44">
        <f t="shared" si="48"/>
        <v>0</v>
      </c>
      <c r="AK103" s="44">
        <f t="shared" si="48"/>
        <v>0</v>
      </c>
      <c r="AL103" s="44">
        <f t="shared" si="48"/>
        <v>0</v>
      </c>
    </row>
    <row r="104" spans="1:38" x14ac:dyDescent="0.25">
      <c r="A104" s="282">
        <f t="shared" si="45"/>
        <v>0</v>
      </c>
      <c r="B104" s="39">
        <f>+DESP_JANEIRO!B103</f>
        <v>0</v>
      </c>
      <c r="C104" s="39">
        <f>+DESP_JANEIRO!C103</f>
        <v>0</v>
      </c>
      <c r="D104" s="40">
        <f ca="1">+DESP_JANEIRO!F103</f>
        <v>0</v>
      </c>
      <c r="E104" s="41">
        <f>+DESP_JANEIRO!D103</f>
        <v>0</v>
      </c>
      <c r="F104" s="42" t="str">
        <f>+DESP_JANEIRO!G103</f>
        <v>-</v>
      </c>
      <c r="G104" s="43">
        <f>+DESP_JANEIRO!H103</f>
        <v>0</v>
      </c>
      <c r="H104" s="44">
        <f t="shared" si="46"/>
        <v>0</v>
      </c>
      <c r="I104" s="44">
        <f t="shared" si="47"/>
        <v>0</v>
      </c>
      <c r="J104" s="44">
        <f t="shared" si="47"/>
        <v>0</v>
      </c>
      <c r="K104" s="44">
        <f t="shared" si="47"/>
        <v>0</v>
      </c>
      <c r="L104" s="44">
        <f t="shared" si="47"/>
        <v>0</v>
      </c>
      <c r="M104" s="44">
        <f t="shared" si="47"/>
        <v>0</v>
      </c>
      <c r="N104" s="44">
        <f t="shared" si="47"/>
        <v>0</v>
      </c>
      <c r="O104" s="44">
        <f t="shared" si="47"/>
        <v>0</v>
      </c>
      <c r="P104" s="44">
        <f t="shared" si="47"/>
        <v>0</v>
      </c>
      <c r="Q104" s="44">
        <f t="shared" si="47"/>
        <v>0</v>
      </c>
      <c r="R104" s="44">
        <f t="shared" si="47"/>
        <v>0</v>
      </c>
      <c r="S104" s="44">
        <f t="shared" si="47"/>
        <v>0</v>
      </c>
      <c r="T104" s="44">
        <f t="shared" si="47"/>
        <v>0</v>
      </c>
      <c r="U104" s="44">
        <f t="shared" si="47"/>
        <v>0</v>
      </c>
      <c r="V104" s="44">
        <f t="shared" si="47"/>
        <v>0</v>
      </c>
      <c r="W104" s="44">
        <f t="shared" si="47"/>
        <v>0</v>
      </c>
      <c r="X104" s="44">
        <f t="shared" si="48"/>
        <v>0</v>
      </c>
      <c r="Y104" s="44">
        <f t="shared" si="48"/>
        <v>0</v>
      </c>
      <c r="Z104" s="44">
        <f t="shared" si="48"/>
        <v>0</v>
      </c>
      <c r="AA104" s="44">
        <f t="shared" si="48"/>
        <v>0</v>
      </c>
      <c r="AB104" s="44">
        <f t="shared" si="48"/>
        <v>0</v>
      </c>
      <c r="AC104" s="44">
        <f t="shared" si="48"/>
        <v>0</v>
      </c>
      <c r="AD104" s="44">
        <f t="shared" si="48"/>
        <v>0</v>
      </c>
      <c r="AE104" s="44">
        <f t="shared" si="48"/>
        <v>0</v>
      </c>
      <c r="AF104" s="44">
        <f t="shared" si="48"/>
        <v>0</v>
      </c>
      <c r="AG104" s="44">
        <f t="shared" si="48"/>
        <v>0</v>
      </c>
      <c r="AH104" s="44">
        <f t="shared" si="48"/>
        <v>0</v>
      </c>
      <c r="AI104" s="44">
        <f t="shared" si="48"/>
        <v>0</v>
      </c>
      <c r="AJ104" s="44">
        <f t="shared" si="48"/>
        <v>0</v>
      </c>
      <c r="AK104" s="44">
        <f t="shared" si="48"/>
        <v>0</v>
      </c>
      <c r="AL104" s="44">
        <f t="shared" si="48"/>
        <v>0</v>
      </c>
    </row>
    <row r="105" spans="1:38" x14ac:dyDescent="0.25">
      <c r="A105" s="45" t="s">
        <v>11</v>
      </c>
      <c r="B105" s="46">
        <f>+SUM(B101:B104)</f>
        <v>13636.349999999999</v>
      </c>
      <c r="C105" s="46"/>
      <c r="D105" s="46">
        <f ca="1">+SUM(D101:D104)</f>
        <v>13636.349999999999</v>
      </c>
      <c r="E105" s="46">
        <f>+SUM(E101:E104)</f>
        <v>0</v>
      </c>
      <c r="F105" s="48">
        <f t="shared" ref="F105" si="49">+IF(B105=0,"-",E105/B105)</f>
        <v>0</v>
      </c>
      <c r="G105" s="21"/>
      <c r="H105" s="46">
        <f>+SUM(H101:H104)</f>
        <v>0</v>
      </c>
      <c r="I105" s="46">
        <f t="shared" ref="I105:AL105" si="50">+SUM(I101:I104)</f>
        <v>0</v>
      </c>
      <c r="J105" s="46">
        <f t="shared" si="50"/>
        <v>0</v>
      </c>
      <c r="K105" s="46">
        <f t="shared" si="50"/>
        <v>0</v>
      </c>
      <c r="L105" s="46">
        <f t="shared" si="50"/>
        <v>0</v>
      </c>
      <c r="M105" s="46">
        <f t="shared" si="50"/>
        <v>0</v>
      </c>
      <c r="N105" s="46">
        <f t="shared" si="50"/>
        <v>0</v>
      </c>
      <c r="O105" s="46">
        <f t="shared" si="50"/>
        <v>10606.05</v>
      </c>
      <c r="P105" s="46">
        <f t="shared" si="50"/>
        <v>0</v>
      </c>
      <c r="Q105" s="46">
        <f t="shared" si="50"/>
        <v>0</v>
      </c>
      <c r="R105" s="46">
        <f t="shared" si="50"/>
        <v>3030.3</v>
      </c>
      <c r="S105" s="46">
        <f t="shared" si="50"/>
        <v>0</v>
      </c>
      <c r="T105" s="46">
        <f t="shared" si="50"/>
        <v>0</v>
      </c>
      <c r="U105" s="46">
        <f t="shared" si="50"/>
        <v>0</v>
      </c>
      <c r="V105" s="46">
        <f t="shared" si="50"/>
        <v>0</v>
      </c>
      <c r="W105" s="46">
        <f t="shared" si="50"/>
        <v>0</v>
      </c>
      <c r="X105" s="46">
        <f t="shared" si="50"/>
        <v>0</v>
      </c>
      <c r="Y105" s="46">
        <f t="shared" si="50"/>
        <v>0</v>
      </c>
      <c r="Z105" s="46">
        <f t="shared" si="50"/>
        <v>0</v>
      </c>
      <c r="AA105" s="46">
        <f t="shared" si="50"/>
        <v>0</v>
      </c>
      <c r="AB105" s="46">
        <f t="shared" si="50"/>
        <v>0</v>
      </c>
      <c r="AC105" s="46">
        <f t="shared" si="50"/>
        <v>0</v>
      </c>
      <c r="AD105" s="46">
        <f t="shared" si="50"/>
        <v>0</v>
      </c>
      <c r="AE105" s="46">
        <f t="shared" si="50"/>
        <v>0</v>
      </c>
      <c r="AF105" s="46">
        <f t="shared" si="50"/>
        <v>0</v>
      </c>
      <c r="AG105" s="46">
        <f t="shared" si="50"/>
        <v>0</v>
      </c>
      <c r="AH105" s="46">
        <f t="shared" si="50"/>
        <v>0</v>
      </c>
      <c r="AI105" s="46">
        <f t="shared" si="50"/>
        <v>0</v>
      </c>
      <c r="AJ105" s="46">
        <f t="shared" si="50"/>
        <v>0</v>
      </c>
      <c r="AK105" s="46">
        <f t="shared" si="50"/>
        <v>0</v>
      </c>
      <c r="AL105" s="46">
        <f t="shared" si="50"/>
        <v>0</v>
      </c>
    </row>
    <row r="106" spans="1:38" x14ac:dyDescent="0.25">
      <c r="A106" s="37"/>
      <c r="B106" s="52"/>
      <c r="C106" s="51"/>
      <c r="D106" s="55"/>
      <c r="E106" s="52"/>
      <c r="F106" s="54"/>
      <c r="G106" s="35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</row>
    <row r="107" spans="1:38" x14ac:dyDescent="0.25">
      <c r="A107" s="282">
        <f t="shared" ref="A107:A112" si="51">+SUM(H107:AL107)-B107</f>
        <v>0</v>
      </c>
      <c r="B107" s="39">
        <f>+DESP_JANEIRO!B106</f>
        <v>931.52</v>
      </c>
      <c r="C107" s="39">
        <f>+DESP_JANEIRO!C106</f>
        <v>9</v>
      </c>
      <c r="D107" s="40">
        <f ca="1">+DESP_JANEIRO!F106</f>
        <v>931.52</v>
      </c>
      <c r="E107" s="41">
        <f>+DESP_JANEIRO!D106</f>
        <v>0</v>
      </c>
      <c r="F107" s="42">
        <f>+DESP_JANEIRO!G106</f>
        <v>0</v>
      </c>
      <c r="G107" s="43">
        <f>+DESP_JANEIRO!H106</f>
        <v>0</v>
      </c>
      <c r="H107" s="44">
        <f t="shared" ref="H107:H112" si="52">+IF(H$3&gt;$D$2,0,IF(OR(C107=-1,C107=H$3),$B107,0))</f>
        <v>0</v>
      </c>
      <c r="I107" s="44">
        <f t="shared" ref="I107:W112" si="53">+IF(I$3&gt;$D$2,0,IF($C107=I$3,$B107,0))</f>
        <v>0</v>
      </c>
      <c r="J107" s="44">
        <f t="shared" si="53"/>
        <v>0</v>
      </c>
      <c r="K107" s="44">
        <f t="shared" si="53"/>
        <v>0</v>
      </c>
      <c r="L107" s="44">
        <f t="shared" si="53"/>
        <v>0</v>
      </c>
      <c r="M107" s="44">
        <f t="shared" si="53"/>
        <v>0</v>
      </c>
      <c r="N107" s="44">
        <f t="shared" si="53"/>
        <v>0</v>
      </c>
      <c r="O107" s="44">
        <f t="shared" si="53"/>
        <v>0</v>
      </c>
      <c r="P107" s="44">
        <f t="shared" si="53"/>
        <v>931.52</v>
      </c>
      <c r="Q107" s="44">
        <f t="shared" si="53"/>
        <v>0</v>
      </c>
      <c r="R107" s="44">
        <f t="shared" si="53"/>
        <v>0</v>
      </c>
      <c r="S107" s="44">
        <f t="shared" si="53"/>
        <v>0</v>
      </c>
      <c r="T107" s="44">
        <f t="shared" si="53"/>
        <v>0</v>
      </c>
      <c r="U107" s="44">
        <f t="shared" si="53"/>
        <v>0</v>
      </c>
      <c r="V107" s="44">
        <f t="shared" si="53"/>
        <v>0</v>
      </c>
      <c r="W107" s="44">
        <f t="shared" si="53"/>
        <v>0</v>
      </c>
      <c r="X107" s="44">
        <f t="shared" ref="X107:AL112" si="54">+IF(X$3&gt;$D$2,0,IF($C107=X$3,$B107,0))</f>
        <v>0</v>
      </c>
      <c r="Y107" s="44">
        <f t="shared" si="54"/>
        <v>0</v>
      </c>
      <c r="Z107" s="44">
        <f t="shared" si="54"/>
        <v>0</v>
      </c>
      <c r="AA107" s="44">
        <f t="shared" si="54"/>
        <v>0</v>
      </c>
      <c r="AB107" s="44">
        <f t="shared" si="54"/>
        <v>0</v>
      </c>
      <c r="AC107" s="44">
        <f t="shared" si="54"/>
        <v>0</v>
      </c>
      <c r="AD107" s="44">
        <f t="shared" si="54"/>
        <v>0</v>
      </c>
      <c r="AE107" s="44">
        <f t="shared" si="54"/>
        <v>0</v>
      </c>
      <c r="AF107" s="44">
        <f t="shared" si="54"/>
        <v>0</v>
      </c>
      <c r="AG107" s="44">
        <f t="shared" si="54"/>
        <v>0</v>
      </c>
      <c r="AH107" s="44">
        <f t="shared" si="54"/>
        <v>0</v>
      </c>
      <c r="AI107" s="44">
        <f t="shared" si="54"/>
        <v>0</v>
      </c>
      <c r="AJ107" s="44">
        <f t="shared" si="54"/>
        <v>0</v>
      </c>
      <c r="AK107" s="44">
        <f t="shared" si="54"/>
        <v>0</v>
      </c>
      <c r="AL107" s="44">
        <f t="shared" si="54"/>
        <v>0</v>
      </c>
    </row>
    <row r="108" spans="1:38" x14ac:dyDescent="0.25">
      <c r="A108" s="282">
        <f t="shared" si="51"/>
        <v>0</v>
      </c>
      <c r="B108" s="39">
        <f>+DESP_JANEIRO!B107</f>
        <v>2221.7399999999998</v>
      </c>
      <c r="C108" s="39">
        <f>+DESP_JANEIRO!C107</f>
        <v>13</v>
      </c>
      <c r="D108" s="40">
        <f ca="1">+DESP_JANEIRO!F107</f>
        <v>0</v>
      </c>
      <c r="E108" s="41">
        <f>+DESP_JANEIRO!D107</f>
        <v>0</v>
      </c>
      <c r="F108" s="42">
        <f>+DESP_JANEIRO!G107</f>
        <v>0</v>
      </c>
      <c r="G108" s="43">
        <f>+DESP_JANEIRO!H107</f>
        <v>0</v>
      </c>
      <c r="H108" s="44">
        <f t="shared" si="52"/>
        <v>0</v>
      </c>
      <c r="I108" s="44">
        <f t="shared" si="53"/>
        <v>0</v>
      </c>
      <c r="J108" s="44">
        <f t="shared" si="53"/>
        <v>0</v>
      </c>
      <c r="K108" s="44">
        <f t="shared" si="53"/>
        <v>0</v>
      </c>
      <c r="L108" s="44">
        <f t="shared" si="53"/>
        <v>0</v>
      </c>
      <c r="M108" s="44">
        <f t="shared" si="53"/>
        <v>0</v>
      </c>
      <c r="N108" s="44">
        <f t="shared" si="53"/>
        <v>0</v>
      </c>
      <c r="O108" s="44">
        <f t="shared" si="53"/>
        <v>0</v>
      </c>
      <c r="P108" s="44">
        <f t="shared" si="53"/>
        <v>0</v>
      </c>
      <c r="Q108" s="44">
        <f t="shared" si="53"/>
        <v>0</v>
      </c>
      <c r="R108" s="44">
        <f t="shared" si="53"/>
        <v>0</v>
      </c>
      <c r="S108" s="44">
        <f t="shared" si="53"/>
        <v>0</v>
      </c>
      <c r="T108" s="44">
        <f t="shared" si="53"/>
        <v>2221.7399999999998</v>
      </c>
      <c r="U108" s="44">
        <f t="shared" si="53"/>
        <v>0</v>
      </c>
      <c r="V108" s="44">
        <f t="shared" si="53"/>
        <v>0</v>
      </c>
      <c r="W108" s="44">
        <f t="shared" si="53"/>
        <v>0</v>
      </c>
      <c r="X108" s="44">
        <f t="shared" si="54"/>
        <v>0</v>
      </c>
      <c r="Y108" s="44">
        <f t="shared" si="54"/>
        <v>0</v>
      </c>
      <c r="Z108" s="44">
        <f t="shared" si="54"/>
        <v>0</v>
      </c>
      <c r="AA108" s="44">
        <f t="shared" si="54"/>
        <v>0</v>
      </c>
      <c r="AB108" s="44">
        <f t="shared" si="54"/>
        <v>0</v>
      </c>
      <c r="AC108" s="44">
        <f t="shared" si="54"/>
        <v>0</v>
      </c>
      <c r="AD108" s="44">
        <f t="shared" si="54"/>
        <v>0</v>
      </c>
      <c r="AE108" s="44">
        <f t="shared" si="54"/>
        <v>0</v>
      </c>
      <c r="AF108" s="44">
        <f t="shared" si="54"/>
        <v>0</v>
      </c>
      <c r="AG108" s="44">
        <f t="shared" si="54"/>
        <v>0</v>
      </c>
      <c r="AH108" s="44">
        <f t="shared" si="54"/>
        <v>0</v>
      </c>
      <c r="AI108" s="44">
        <f t="shared" si="54"/>
        <v>0</v>
      </c>
      <c r="AJ108" s="44">
        <f t="shared" si="54"/>
        <v>0</v>
      </c>
      <c r="AK108" s="44">
        <f t="shared" si="54"/>
        <v>0</v>
      </c>
      <c r="AL108" s="44">
        <f t="shared" si="54"/>
        <v>0</v>
      </c>
    </row>
    <row r="109" spans="1:38" x14ac:dyDescent="0.25">
      <c r="A109" s="282">
        <f t="shared" si="51"/>
        <v>0</v>
      </c>
      <c r="B109" s="39">
        <f>+DESP_JANEIRO!B108</f>
        <v>0</v>
      </c>
      <c r="C109" s="39">
        <f>+DESP_JANEIRO!C108</f>
        <v>0</v>
      </c>
      <c r="D109" s="40">
        <f ca="1">+DESP_JANEIRO!F108</f>
        <v>0</v>
      </c>
      <c r="E109" s="41">
        <f>+DESP_JANEIRO!D108</f>
        <v>0</v>
      </c>
      <c r="F109" s="42" t="str">
        <f>+DESP_JANEIRO!G108</f>
        <v>-</v>
      </c>
      <c r="G109" s="43">
        <f>+DESP_JANEIRO!H108</f>
        <v>0</v>
      </c>
      <c r="H109" s="44">
        <f t="shared" si="52"/>
        <v>0</v>
      </c>
      <c r="I109" s="44">
        <f t="shared" si="53"/>
        <v>0</v>
      </c>
      <c r="J109" s="44">
        <f t="shared" si="53"/>
        <v>0</v>
      </c>
      <c r="K109" s="44">
        <f t="shared" si="53"/>
        <v>0</v>
      </c>
      <c r="L109" s="44">
        <f t="shared" si="53"/>
        <v>0</v>
      </c>
      <c r="M109" s="44">
        <f t="shared" si="53"/>
        <v>0</v>
      </c>
      <c r="N109" s="44">
        <f t="shared" si="53"/>
        <v>0</v>
      </c>
      <c r="O109" s="44">
        <f t="shared" si="53"/>
        <v>0</v>
      </c>
      <c r="P109" s="44">
        <f t="shared" si="53"/>
        <v>0</v>
      </c>
      <c r="Q109" s="44">
        <f t="shared" si="53"/>
        <v>0</v>
      </c>
      <c r="R109" s="44">
        <f t="shared" si="53"/>
        <v>0</v>
      </c>
      <c r="S109" s="44">
        <f t="shared" si="53"/>
        <v>0</v>
      </c>
      <c r="T109" s="44">
        <f t="shared" si="53"/>
        <v>0</v>
      </c>
      <c r="U109" s="44">
        <f t="shared" si="53"/>
        <v>0</v>
      </c>
      <c r="V109" s="44">
        <f t="shared" si="53"/>
        <v>0</v>
      </c>
      <c r="W109" s="44">
        <f t="shared" si="53"/>
        <v>0</v>
      </c>
      <c r="X109" s="44">
        <f t="shared" si="54"/>
        <v>0</v>
      </c>
      <c r="Y109" s="44">
        <f t="shared" si="54"/>
        <v>0</v>
      </c>
      <c r="Z109" s="44">
        <f t="shared" si="54"/>
        <v>0</v>
      </c>
      <c r="AA109" s="44">
        <f t="shared" si="54"/>
        <v>0</v>
      </c>
      <c r="AB109" s="44">
        <f t="shared" si="54"/>
        <v>0</v>
      </c>
      <c r="AC109" s="44">
        <f t="shared" si="54"/>
        <v>0</v>
      </c>
      <c r="AD109" s="44">
        <f t="shared" si="54"/>
        <v>0</v>
      </c>
      <c r="AE109" s="44">
        <f t="shared" si="54"/>
        <v>0</v>
      </c>
      <c r="AF109" s="44">
        <f t="shared" si="54"/>
        <v>0</v>
      </c>
      <c r="AG109" s="44">
        <f t="shared" si="54"/>
        <v>0</v>
      </c>
      <c r="AH109" s="44">
        <f t="shared" si="54"/>
        <v>0</v>
      </c>
      <c r="AI109" s="44">
        <f t="shared" si="54"/>
        <v>0</v>
      </c>
      <c r="AJ109" s="44">
        <f t="shared" si="54"/>
        <v>0</v>
      </c>
      <c r="AK109" s="44">
        <f t="shared" si="54"/>
        <v>0</v>
      </c>
      <c r="AL109" s="44">
        <f t="shared" si="54"/>
        <v>0</v>
      </c>
    </row>
    <row r="110" spans="1:38" x14ac:dyDescent="0.25">
      <c r="A110" s="282">
        <f t="shared" si="51"/>
        <v>0</v>
      </c>
      <c r="B110" s="39">
        <f>+DESP_JANEIRO!B109</f>
        <v>0</v>
      </c>
      <c r="C110" s="39">
        <f>+DESP_JANEIRO!C109</f>
        <v>0</v>
      </c>
      <c r="D110" s="40">
        <f ca="1">+DESP_JANEIRO!F109</f>
        <v>0</v>
      </c>
      <c r="E110" s="41">
        <f>+DESP_JANEIRO!D109</f>
        <v>0</v>
      </c>
      <c r="F110" s="42" t="str">
        <f>+DESP_JANEIRO!G109</f>
        <v>-</v>
      </c>
      <c r="G110" s="43">
        <f>+DESP_JANEIRO!H109</f>
        <v>0</v>
      </c>
      <c r="H110" s="44">
        <f t="shared" si="52"/>
        <v>0</v>
      </c>
      <c r="I110" s="44">
        <f t="shared" si="53"/>
        <v>0</v>
      </c>
      <c r="J110" s="44">
        <f t="shared" si="53"/>
        <v>0</v>
      </c>
      <c r="K110" s="44">
        <f t="shared" si="53"/>
        <v>0</v>
      </c>
      <c r="L110" s="44">
        <f t="shared" si="53"/>
        <v>0</v>
      </c>
      <c r="M110" s="44">
        <f t="shared" si="53"/>
        <v>0</v>
      </c>
      <c r="N110" s="44">
        <f t="shared" si="53"/>
        <v>0</v>
      </c>
      <c r="O110" s="44">
        <f t="shared" si="53"/>
        <v>0</v>
      </c>
      <c r="P110" s="44">
        <f t="shared" si="53"/>
        <v>0</v>
      </c>
      <c r="Q110" s="44">
        <f t="shared" si="53"/>
        <v>0</v>
      </c>
      <c r="R110" s="44">
        <f t="shared" si="53"/>
        <v>0</v>
      </c>
      <c r="S110" s="44">
        <f t="shared" si="53"/>
        <v>0</v>
      </c>
      <c r="T110" s="44">
        <f t="shared" si="53"/>
        <v>0</v>
      </c>
      <c r="U110" s="44">
        <f t="shared" si="53"/>
        <v>0</v>
      </c>
      <c r="V110" s="44">
        <f t="shared" si="53"/>
        <v>0</v>
      </c>
      <c r="W110" s="44">
        <f t="shared" si="53"/>
        <v>0</v>
      </c>
      <c r="X110" s="44">
        <f t="shared" si="54"/>
        <v>0</v>
      </c>
      <c r="Y110" s="44">
        <f t="shared" si="54"/>
        <v>0</v>
      </c>
      <c r="Z110" s="44">
        <f t="shared" si="54"/>
        <v>0</v>
      </c>
      <c r="AA110" s="44">
        <f t="shared" si="54"/>
        <v>0</v>
      </c>
      <c r="AB110" s="44">
        <f t="shared" si="54"/>
        <v>0</v>
      </c>
      <c r="AC110" s="44">
        <f t="shared" si="54"/>
        <v>0</v>
      </c>
      <c r="AD110" s="44">
        <f t="shared" si="54"/>
        <v>0</v>
      </c>
      <c r="AE110" s="44">
        <f t="shared" si="54"/>
        <v>0</v>
      </c>
      <c r="AF110" s="44">
        <f t="shared" si="54"/>
        <v>0</v>
      </c>
      <c r="AG110" s="44">
        <f t="shared" si="54"/>
        <v>0</v>
      </c>
      <c r="AH110" s="44">
        <f t="shared" si="54"/>
        <v>0</v>
      </c>
      <c r="AI110" s="44">
        <f t="shared" si="54"/>
        <v>0</v>
      </c>
      <c r="AJ110" s="44">
        <f t="shared" si="54"/>
        <v>0</v>
      </c>
      <c r="AK110" s="44">
        <f t="shared" si="54"/>
        <v>0</v>
      </c>
      <c r="AL110" s="44">
        <f t="shared" si="54"/>
        <v>0</v>
      </c>
    </row>
    <row r="111" spans="1:38" x14ac:dyDescent="0.25">
      <c r="A111" s="282">
        <f t="shared" si="51"/>
        <v>0</v>
      </c>
      <c r="B111" s="39">
        <f>+DESP_JANEIRO!B110</f>
        <v>0</v>
      </c>
      <c r="C111" s="39">
        <f>+DESP_JANEIRO!C110</f>
        <v>0</v>
      </c>
      <c r="D111" s="40">
        <f ca="1">+DESP_JANEIRO!F110</f>
        <v>0</v>
      </c>
      <c r="E111" s="41">
        <f>+DESP_JANEIRO!D110</f>
        <v>0</v>
      </c>
      <c r="F111" s="42" t="str">
        <f>+DESP_JANEIRO!G110</f>
        <v>-</v>
      </c>
      <c r="G111" s="43">
        <f>+DESP_JANEIRO!H110</f>
        <v>0</v>
      </c>
      <c r="H111" s="44">
        <f t="shared" si="52"/>
        <v>0</v>
      </c>
      <c r="I111" s="44">
        <f t="shared" si="53"/>
        <v>0</v>
      </c>
      <c r="J111" s="44">
        <f t="shared" si="53"/>
        <v>0</v>
      </c>
      <c r="K111" s="44">
        <f t="shared" si="53"/>
        <v>0</v>
      </c>
      <c r="L111" s="44">
        <f t="shared" si="53"/>
        <v>0</v>
      </c>
      <c r="M111" s="44">
        <f t="shared" si="53"/>
        <v>0</v>
      </c>
      <c r="N111" s="44">
        <f t="shared" si="53"/>
        <v>0</v>
      </c>
      <c r="O111" s="44">
        <f t="shared" si="53"/>
        <v>0</v>
      </c>
      <c r="P111" s="44">
        <f t="shared" si="53"/>
        <v>0</v>
      </c>
      <c r="Q111" s="44">
        <f t="shared" si="53"/>
        <v>0</v>
      </c>
      <c r="R111" s="44">
        <f t="shared" si="53"/>
        <v>0</v>
      </c>
      <c r="S111" s="44">
        <f t="shared" si="53"/>
        <v>0</v>
      </c>
      <c r="T111" s="44">
        <f t="shared" si="53"/>
        <v>0</v>
      </c>
      <c r="U111" s="44">
        <f t="shared" si="53"/>
        <v>0</v>
      </c>
      <c r="V111" s="44">
        <f t="shared" si="53"/>
        <v>0</v>
      </c>
      <c r="W111" s="44">
        <f t="shared" si="53"/>
        <v>0</v>
      </c>
      <c r="X111" s="44">
        <f t="shared" si="54"/>
        <v>0</v>
      </c>
      <c r="Y111" s="44">
        <f t="shared" si="54"/>
        <v>0</v>
      </c>
      <c r="Z111" s="44">
        <f t="shared" si="54"/>
        <v>0</v>
      </c>
      <c r="AA111" s="44">
        <f t="shared" si="54"/>
        <v>0</v>
      </c>
      <c r="AB111" s="44">
        <f t="shared" si="54"/>
        <v>0</v>
      </c>
      <c r="AC111" s="44">
        <f t="shared" si="54"/>
        <v>0</v>
      </c>
      <c r="AD111" s="44">
        <f t="shared" si="54"/>
        <v>0</v>
      </c>
      <c r="AE111" s="44">
        <f t="shared" si="54"/>
        <v>0</v>
      </c>
      <c r="AF111" s="44">
        <f t="shared" si="54"/>
        <v>0</v>
      </c>
      <c r="AG111" s="44">
        <f t="shared" si="54"/>
        <v>0</v>
      </c>
      <c r="AH111" s="44">
        <f t="shared" si="54"/>
        <v>0</v>
      </c>
      <c r="AI111" s="44">
        <f t="shared" si="54"/>
        <v>0</v>
      </c>
      <c r="AJ111" s="44">
        <f t="shared" si="54"/>
        <v>0</v>
      </c>
      <c r="AK111" s="44">
        <f t="shared" si="54"/>
        <v>0</v>
      </c>
      <c r="AL111" s="44">
        <f t="shared" si="54"/>
        <v>0</v>
      </c>
    </row>
    <row r="112" spans="1:38" x14ac:dyDescent="0.25">
      <c r="A112" s="282">
        <f t="shared" si="51"/>
        <v>0</v>
      </c>
      <c r="B112" s="39">
        <f>+DESP_JANEIRO!B111</f>
        <v>0</v>
      </c>
      <c r="C112" s="39">
        <f>+DESP_JANEIRO!C111</f>
        <v>0</v>
      </c>
      <c r="D112" s="40">
        <f ca="1">+DESP_JANEIRO!F111</f>
        <v>0</v>
      </c>
      <c r="E112" s="41">
        <f>+DESP_JANEIRO!D111</f>
        <v>0</v>
      </c>
      <c r="F112" s="42" t="str">
        <f>+DESP_JANEIRO!G111</f>
        <v>-</v>
      </c>
      <c r="G112" s="43">
        <f>+DESP_JANEIRO!H111</f>
        <v>0</v>
      </c>
      <c r="H112" s="44">
        <f t="shared" si="52"/>
        <v>0</v>
      </c>
      <c r="I112" s="44">
        <f t="shared" si="53"/>
        <v>0</v>
      </c>
      <c r="J112" s="44">
        <f t="shared" si="53"/>
        <v>0</v>
      </c>
      <c r="K112" s="44">
        <f t="shared" si="53"/>
        <v>0</v>
      </c>
      <c r="L112" s="44">
        <f t="shared" si="53"/>
        <v>0</v>
      </c>
      <c r="M112" s="44">
        <f t="shared" si="53"/>
        <v>0</v>
      </c>
      <c r="N112" s="44">
        <f t="shared" si="53"/>
        <v>0</v>
      </c>
      <c r="O112" s="44">
        <f t="shared" si="53"/>
        <v>0</v>
      </c>
      <c r="P112" s="44">
        <f t="shared" si="53"/>
        <v>0</v>
      </c>
      <c r="Q112" s="44">
        <f t="shared" si="53"/>
        <v>0</v>
      </c>
      <c r="R112" s="44">
        <f t="shared" si="53"/>
        <v>0</v>
      </c>
      <c r="S112" s="44">
        <f t="shared" si="53"/>
        <v>0</v>
      </c>
      <c r="T112" s="44">
        <f t="shared" si="53"/>
        <v>0</v>
      </c>
      <c r="U112" s="44">
        <f t="shared" si="53"/>
        <v>0</v>
      </c>
      <c r="V112" s="44">
        <f t="shared" si="53"/>
        <v>0</v>
      </c>
      <c r="W112" s="44">
        <f t="shared" si="53"/>
        <v>0</v>
      </c>
      <c r="X112" s="44">
        <f t="shared" si="54"/>
        <v>0</v>
      </c>
      <c r="Y112" s="44">
        <f t="shared" si="54"/>
        <v>0</v>
      </c>
      <c r="Z112" s="44">
        <f t="shared" si="54"/>
        <v>0</v>
      </c>
      <c r="AA112" s="44">
        <f t="shared" si="54"/>
        <v>0</v>
      </c>
      <c r="AB112" s="44">
        <f t="shared" si="54"/>
        <v>0</v>
      </c>
      <c r="AC112" s="44">
        <f t="shared" si="54"/>
        <v>0</v>
      </c>
      <c r="AD112" s="44">
        <f t="shared" si="54"/>
        <v>0</v>
      </c>
      <c r="AE112" s="44">
        <f t="shared" si="54"/>
        <v>0</v>
      </c>
      <c r="AF112" s="44">
        <f t="shared" si="54"/>
        <v>0</v>
      </c>
      <c r="AG112" s="44">
        <f t="shared" si="54"/>
        <v>0</v>
      </c>
      <c r="AH112" s="44">
        <f t="shared" si="54"/>
        <v>0</v>
      </c>
      <c r="AI112" s="44">
        <f t="shared" si="54"/>
        <v>0</v>
      </c>
      <c r="AJ112" s="44">
        <f t="shared" si="54"/>
        <v>0</v>
      </c>
      <c r="AK112" s="44">
        <f t="shared" si="54"/>
        <v>0</v>
      </c>
      <c r="AL112" s="44">
        <f t="shared" si="54"/>
        <v>0</v>
      </c>
    </row>
    <row r="113" spans="1:38" x14ac:dyDescent="0.25">
      <c r="A113" s="45" t="s">
        <v>11</v>
      </c>
      <c r="B113" s="46">
        <f>+SUM(B107:B112)</f>
        <v>3153.2599999999998</v>
      </c>
      <c r="C113" s="46"/>
      <c r="D113" s="46">
        <f ca="1">+SUM(D107:D112)</f>
        <v>931.52</v>
      </c>
      <c r="E113" s="46">
        <f>+SUM(E107:E112)</f>
        <v>0</v>
      </c>
      <c r="F113" s="48">
        <f t="shared" ref="F113" si="55">+IF(B113=0,"-",E113/B113)</f>
        <v>0</v>
      </c>
      <c r="G113" s="21"/>
      <c r="H113" s="46">
        <f>+SUM(H107:H112)</f>
        <v>0</v>
      </c>
      <c r="I113" s="46">
        <f t="shared" ref="I113:AL113" si="56">+SUM(I107:I112)</f>
        <v>0</v>
      </c>
      <c r="J113" s="46">
        <f t="shared" si="56"/>
        <v>0</v>
      </c>
      <c r="K113" s="46">
        <f t="shared" si="56"/>
        <v>0</v>
      </c>
      <c r="L113" s="46">
        <f t="shared" si="56"/>
        <v>0</v>
      </c>
      <c r="M113" s="46">
        <f t="shared" si="56"/>
        <v>0</v>
      </c>
      <c r="N113" s="46">
        <f t="shared" si="56"/>
        <v>0</v>
      </c>
      <c r="O113" s="46">
        <f t="shared" si="56"/>
        <v>0</v>
      </c>
      <c r="P113" s="46">
        <f t="shared" si="56"/>
        <v>931.52</v>
      </c>
      <c r="Q113" s="46">
        <f t="shared" si="56"/>
        <v>0</v>
      </c>
      <c r="R113" s="46">
        <f t="shared" si="56"/>
        <v>0</v>
      </c>
      <c r="S113" s="46">
        <f t="shared" si="56"/>
        <v>0</v>
      </c>
      <c r="T113" s="46">
        <f t="shared" si="56"/>
        <v>2221.7399999999998</v>
      </c>
      <c r="U113" s="46">
        <f t="shared" si="56"/>
        <v>0</v>
      </c>
      <c r="V113" s="46">
        <f t="shared" si="56"/>
        <v>0</v>
      </c>
      <c r="W113" s="46">
        <f t="shared" si="56"/>
        <v>0</v>
      </c>
      <c r="X113" s="46">
        <f t="shared" si="56"/>
        <v>0</v>
      </c>
      <c r="Y113" s="46">
        <f t="shared" si="56"/>
        <v>0</v>
      </c>
      <c r="Z113" s="46">
        <f t="shared" si="56"/>
        <v>0</v>
      </c>
      <c r="AA113" s="46">
        <f t="shared" si="56"/>
        <v>0</v>
      </c>
      <c r="AB113" s="46">
        <f t="shared" si="56"/>
        <v>0</v>
      </c>
      <c r="AC113" s="46">
        <f t="shared" si="56"/>
        <v>0</v>
      </c>
      <c r="AD113" s="46">
        <f t="shared" si="56"/>
        <v>0</v>
      </c>
      <c r="AE113" s="46">
        <f t="shared" si="56"/>
        <v>0</v>
      </c>
      <c r="AF113" s="46">
        <f t="shared" si="56"/>
        <v>0</v>
      </c>
      <c r="AG113" s="46">
        <f t="shared" si="56"/>
        <v>0</v>
      </c>
      <c r="AH113" s="46">
        <f t="shared" si="56"/>
        <v>0</v>
      </c>
      <c r="AI113" s="46">
        <f t="shared" si="56"/>
        <v>0</v>
      </c>
      <c r="AJ113" s="46">
        <f t="shared" si="56"/>
        <v>0</v>
      </c>
      <c r="AK113" s="46">
        <f t="shared" si="56"/>
        <v>0</v>
      </c>
      <c r="AL113" s="46">
        <f t="shared" si="56"/>
        <v>0</v>
      </c>
    </row>
    <row r="114" spans="1:38" x14ac:dyDescent="0.25">
      <c r="A114" s="37" t="s">
        <v>0</v>
      </c>
      <c r="B114" s="52"/>
      <c r="C114" s="51"/>
      <c r="D114" s="51"/>
      <c r="E114" s="52"/>
      <c r="F114" s="54"/>
      <c r="G114" s="35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</row>
    <row r="115" spans="1:38" x14ac:dyDescent="0.25">
      <c r="A115" s="282">
        <f t="shared" ref="A115:A122" si="57">+SUM(H115:AL115)-B115</f>
        <v>0</v>
      </c>
      <c r="B115" s="39">
        <f>+DESP_JANEIRO!B114</f>
        <v>1750</v>
      </c>
      <c r="C115" s="39">
        <f>+DESP_JANEIRO!C114</f>
        <v>1</v>
      </c>
      <c r="D115" s="40">
        <f ca="1">+DESP_JANEIRO!F114</f>
        <v>1750</v>
      </c>
      <c r="E115" s="41">
        <f>+DESP_JANEIRO!D114</f>
        <v>0</v>
      </c>
      <c r="F115" s="42">
        <f>+DESP_JANEIRO!G114</f>
        <v>0</v>
      </c>
      <c r="G115" s="43">
        <f>+DESP_JANEIRO!H114</f>
        <v>0</v>
      </c>
      <c r="H115" s="44">
        <f t="shared" ref="H115:H122" si="58">+IF(H$3&gt;$D$2,0,IF(OR(C115=-1,C115=H$3),$B115,0))</f>
        <v>1750</v>
      </c>
      <c r="I115" s="44">
        <f t="shared" ref="I115:W122" si="59">+IF(I$3&gt;$D$2,0,IF($C115=I$3,$B115,0))</f>
        <v>0</v>
      </c>
      <c r="J115" s="44">
        <f t="shared" si="59"/>
        <v>0</v>
      </c>
      <c r="K115" s="44">
        <f t="shared" si="59"/>
        <v>0</v>
      </c>
      <c r="L115" s="44">
        <f t="shared" si="59"/>
        <v>0</v>
      </c>
      <c r="M115" s="44">
        <f t="shared" si="59"/>
        <v>0</v>
      </c>
      <c r="N115" s="44">
        <f t="shared" si="59"/>
        <v>0</v>
      </c>
      <c r="O115" s="44">
        <f t="shared" si="59"/>
        <v>0</v>
      </c>
      <c r="P115" s="44">
        <f t="shared" si="59"/>
        <v>0</v>
      </c>
      <c r="Q115" s="44">
        <f t="shared" si="59"/>
        <v>0</v>
      </c>
      <c r="R115" s="44">
        <f t="shared" si="59"/>
        <v>0</v>
      </c>
      <c r="S115" s="44">
        <f t="shared" si="59"/>
        <v>0</v>
      </c>
      <c r="T115" s="44">
        <f t="shared" si="59"/>
        <v>0</v>
      </c>
      <c r="U115" s="44">
        <f t="shared" si="59"/>
        <v>0</v>
      </c>
      <c r="V115" s="44">
        <f t="shared" si="59"/>
        <v>0</v>
      </c>
      <c r="W115" s="44">
        <f t="shared" si="59"/>
        <v>0</v>
      </c>
      <c r="X115" s="44">
        <f t="shared" ref="X115:AL122" si="60">+IF(X$3&gt;$D$2,0,IF($C115=X$3,$B115,0))</f>
        <v>0</v>
      </c>
      <c r="Y115" s="44">
        <f t="shared" si="60"/>
        <v>0</v>
      </c>
      <c r="Z115" s="44">
        <f t="shared" si="60"/>
        <v>0</v>
      </c>
      <c r="AA115" s="44">
        <f t="shared" si="60"/>
        <v>0</v>
      </c>
      <c r="AB115" s="44">
        <f t="shared" si="60"/>
        <v>0</v>
      </c>
      <c r="AC115" s="44">
        <f t="shared" si="60"/>
        <v>0</v>
      </c>
      <c r="AD115" s="44">
        <f t="shared" si="60"/>
        <v>0</v>
      </c>
      <c r="AE115" s="44">
        <f t="shared" si="60"/>
        <v>0</v>
      </c>
      <c r="AF115" s="44">
        <f t="shared" si="60"/>
        <v>0</v>
      </c>
      <c r="AG115" s="44">
        <f t="shared" si="60"/>
        <v>0</v>
      </c>
      <c r="AH115" s="44">
        <f t="shared" si="60"/>
        <v>0</v>
      </c>
      <c r="AI115" s="44">
        <f t="shared" si="60"/>
        <v>0</v>
      </c>
      <c r="AJ115" s="44">
        <f t="shared" si="60"/>
        <v>0</v>
      </c>
      <c r="AK115" s="44">
        <f t="shared" si="60"/>
        <v>0</v>
      </c>
      <c r="AL115" s="44">
        <f t="shared" si="60"/>
        <v>0</v>
      </c>
    </row>
    <row r="116" spans="1:38" x14ac:dyDescent="0.25">
      <c r="A116" s="282">
        <f t="shared" si="57"/>
        <v>0</v>
      </c>
      <c r="B116" s="39">
        <f>+DESP_JANEIRO!B115</f>
        <v>2750</v>
      </c>
      <c r="C116" s="39">
        <f>+DESP_JANEIRO!C115</f>
        <v>15</v>
      </c>
      <c r="D116" s="40">
        <f ca="1">+DESP_JANEIRO!F115</f>
        <v>0</v>
      </c>
      <c r="E116" s="41">
        <f>+DESP_JANEIRO!D115</f>
        <v>0</v>
      </c>
      <c r="F116" s="42">
        <f>+DESP_JANEIRO!G115</f>
        <v>0</v>
      </c>
      <c r="G116" s="43">
        <f>+DESP_JANEIRO!H115</f>
        <v>0</v>
      </c>
      <c r="H116" s="44">
        <f t="shared" si="58"/>
        <v>0</v>
      </c>
      <c r="I116" s="44">
        <f t="shared" si="59"/>
        <v>0</v>
      </c>
      <c r="J116" s="44">
        <f t="shared" si="59"/>
        <v>0</v>
      </c>
      <c r="K116" s="44">
        <f t="shared" si="59"/>
        <v>0</v>
      </c>
      <c r="L116" s="44">
        <f t="shared" si="59"/>
        <v>0</v>
      </c>
      <c r="M116" s="44">
        <f t="shared" si="59"/>
        <v>0</v>
      </c>
      <c r="N116" s="44">
        <f t="shared" si="59"/>
        <v>0</v>
      </c>
      <c r="O116" s="44">
        <f t="shared" si="59"/>
        <v>0</v>
      </c>
      <c r="P116" s="44">
        <f t="shared" si="59"/>
        <v>0</v>
      </c>
      <c r="Q116" s="44">
        <f t="shared" si="59"/>
        <v>0</v>
      </c>
      <c r="R116" s="44">
        <f t="shared" si="59"/>
        <v>0</v>
      </c>
      <c r="S116" s="44">
        <f t="shared" si="59"/>
        <v>0</v>
      </c>
      <c r="T116" s="44">
        <f t="shared" si="59"/>
        <v>0</v>
      </c>
      <c r="U116" s="44">
        <f t="shared" si="59"/>
        <v>0</v>
      </c>
      <c r="V116" s="44">
        <f t="shared" si="59"/>
        <v>2750</v>
      </c>
      <c r="W116" s="44">
        <f t="shared" si="59"/>
        <v>0</v>
      </c>
      <c r="X116" s="44">
        <f t="shared" si="60"/>
        <v>0</v>
      </c>
      <c r="Y116" s="44">
        <f t="shared" si="60"/>
        <v>0</v>
      </c>
      <c r="Z116" s="44">
        <f t="shared" si="60"/>
        <v>0</v>
      </c>
      <c r="AA116" s="44">
        <f t="shared" si="60"/>
        <v>0</v>
      </c>
      <c r="AB116" s="44">
        <f t="shared" si="60"/>
        <v>0</v>
      </c>
      <c r="AC116" s="44">
        <f t="shared" si="60"/>
        <v>0</v>
      </c>
      <c r="AD116" s="44">
        <f t="shared" si="60"/>
        <v>0</v>
      </c>
      <c r="AE116" s="44">
        <f t="shared" si="60"/>
        <v>0</v>
      </c>
      <c r="AF116" s="44">
        <f t="shared" si="60"/>
        <v>0</v>
      </c>
      <c r="AG116" s="44">
        <f t="shared" si="60"/>
        <v>0</v>
      </c>
      <c r="AH116" s="44">
        <f t="shared" si="60"/>
        <v>0</v>
      </c>
      <c r="AI116" s="44">
        <f t="shared" si="60"/>
        <v>0</v>
      </c>
      <c r="AJ116" s="44">
        <f t="shared" si="60"/>
        <v>0</v>
      </c>
      <c r="AK116" s="44">
        <f t="shared" si="60"/>
        <v>0</v>
      </c>
      <c r="AL116" s="44">
        <f t="shared" si="60"/>
        <v>0</v>
      </c>
    </row>
    <row r="117" spans="1:38" x14ac:dyDescent="0.25">
      <c r="A117" s="282">
        <f t="shared" si="57"/>
        <v>0</v>
      </c>
      <c r="B117" s="39">
        <f>+DESP_JANEIRO!B116</f>
        <v>0</v>
      </c>
      <c r="C117" s="39">
        <f>+DESP_JANEIRO!C116</f>
        <v>0</v>
      </c>
      <c r="D117" s="40">
        <f ca="1">+DESP_JANEIRO!F116</f>
        <v>0</v>
      </c>
      <c r="E117" s="41">
        <f>+DESP_JANEIRO!D116</f>
        <v>0</v>
      </c>
      <c r="F117" s="42" t="str">
        <f>+DESP_JANEIRO!G116</f>
        <v>-</v>
      </c>
      <c r="G117" s="43">
        <f>+DESP_JANEIRO!H116</f>
        <v>0</v>
      </c>
      <c r="H117" s="44">
        <f t="shared" si="58"/>
        <v>0</v>
      </c>
      <c r="I117" s="44">
        <f t="shared" si="59"/>
        <v>0</v>
      </c>
      <c r="J117" s="44">
        <f t="shared" si="59"/>
        <v>0</v>
      </c>
      <c r="K117" s="44">
        <f t="shared" si="59"/>
        <v>0</v>
      </c>
      <c r="L117" s="44">
        <f t="shared" si="59"/>
        <v>0</v>
      </c>
      <c r="M117" s="44">
        <f t="shared" si="59"/>
        <v>0</v>
      </c>
      <c r="N117" s="44">
        <f t="shared" si="59"/>
        <v>0</v>
      </c>
      <c r="O117" s="44">
        <f t="shared" si="59"/>
        <v>0</v>
      </c>
      <c r="P117" s="44">
        <f t="shared" si="59"/>
        <v>0</v>
      </c>
      <c r="Q117" s="44">
        <f t="shared" si="59"/>
        <v>0</v>
      </c>
      <c r="R117" s="44">
        <f t="shared" si="59"/>
        <v>0</v>
      </c>
      <c r="S117" s="44">
        <f t="shared" si="59"/>
        <v>0</v>
      </c>
      <c r="T117" s="44">
        <f t="shared" si="59"/>
        <v>0</v>
      </c>
      <c r="U117" s="44">
        <f t="shared" si="59"/>
        <v>0</v>
      </c>
      <c r="V117" s="44">
        <f t="shared" si="59"/>
        <v>0</v>
      </c>
      <c r="W117" s="44">
        <f t="shared" si="59"/>
        <v>0</v>
      </c>
      <c r="X117" s="44">
        <f t="shared" si="60"/>
        <v>0</v>
      </c>
      <c r="Y117" s="44">
        <f t="shared" si="60"/>
        <v>0</v>
      </c>
      <c r="Z117" s="44">
        <f t="shared" si="60"/>
        <v>0</v>
      </c>
      <c r="AA117" s="44">
        <f t="shared" si="60"/>
        <v>0</v>
      </c>
      <c r="AB117" s="44">
        <f t="shared" si="60"/>
        <v>0</v>
      </c>
      <c r="AC117" s="44">
        <f t="shared" si="60"/>
        <v>0</v>
      </c>
      <c r="AD117" s="44">
        <f t="shared" si="60"/>
        <v>0</v>
      </c>
      <c r="AE117" s="44">
        <f t="shared" si="60"/>
        <v>0</v>
      </c>
      <c r="AF117" s="44">
        <f t="shared" si="60"/>
        <v>0</v>
      </c>
      <c r="AG117" s="44">
        <f t="shared" si="60"/>
        <v>0</v>
      </c>
      <c r="AH117" s="44">
        <f t="shared" si="60"/>
        <v>0</v>
      </c>
      <c r="AI117" s="44">
        <f t="shared" si="60"/>
        <v>0</v>
      </c>
      <c r="AJ117" s="44">
        <f t="shared" si="60"/>
        <v>0</v>
      </c>
      <c r="AK117" s="44">
        <f t="shared" si="60"/>
        <v>0</v>
      </c>
      <c r="AL117" s="44">
        <f t="shared" si="60"/>
        <v>0</v>
      </c>
    </row>
    <row r="118" spans="1:38" x14ac:dyDescent="0.25">
      <c r="A118" s="282">
        <f t="shared" si="57"/>
        <v>0</v>
      </c>
      <c r="B118" s="39">
        <f>+DESP_JANEIRO!B117</f>
        <v>0</v>
      </c>
      <c r="C118" s="39">
        <f>+DESP_JANEIRO!C117</f>
        <v>0</v>
      </c>
      <c r="D118" s="40">
        <f ca="1">+DESP_JANEIRO!F117</f>
        <v>0</v>
      </c>
      <c r="E118" s="41">
        <f>+DESP_JANEIRO!D117</f>
        <v>0</v>
      </c>
      <c r="F118" s="42" t="str">
        <f>+DESP_JANEIRO!G117</f>
        <v>-</v>
      </c>
      <c r="G118" s="43">
        <f>+DESP_JANEIRO!H117</f>
        <v>0</v>
      </c>
      <c r="H118" s="44">
        <f t="shared" si="58"/>
        <v>0</v>
      </c>
      <c r="I118" s="44">
        <f t="shared" si="59"/>
        <v>0</v>
      </c>
      <c r="J118" s="44">
        <f t="shared" si="59"/>
        <v>0</v>
      </c>
      <c r="K118" s="44">
        <f t="shared" si="59"/>
        <v>0</v>
      </c>
      <c r="L118" s="44">
        <f t="shared" si="59"/>
        <v>0</v>
      </c>
      <c r="M118" s="44">
        <f t="shared" si="59"/>
        <v>0</v>
      </c>
      <c r="N118" s="44">
        <f t="shared" si="59"/>
        <v>0</v>
      </c>
      <c r="O118" s="44">
        <f t="shared" si="59"/>
        <v>0</v>
      </c>
      <c r="P118" s="44">
        <f t="shared" si="59"/>
        <v>0</v>
      </c>
      <c r="Q118" s="44">
        <f t="shared" si="59"/>
        <v>0</v>
      </c>
      <c r="R118" s="44">
        <f t="shared" si="59"/>
        <v>0</v>
      </c>
      <c r="S118" s="44">
        <f t="shared" si="59"/>
        <v>0</v>
      </c>
      <c r="T118" s="44">
        <f t="shared" si="59"/>
        <v>0</v>
      </c>
      <c r="U118" s="44">
        <f t="shared" si="59"/>
        <v>0</v>
      </c>
      <c r="V118" s="44">
        <f t="shared" si="59"/>
        <v>0</v>
      </c>
      <c r="W118" s="44">
        <f t="shared" si="59"/>
        <v>0</v>
      </c>
      <c r="X118" s="44">
        <f t="shared" si="60"/>
        <v>0</v>
      </c>
      <c r="Y118" s="44">
        <f t="shared" si="60"/>
        <v>0</v>
      </c>
      <c r="Z118" s="44">
        <f t="shared" si="60"/>
        <v>0</v>
      </c>
      <c r="AA118" s="44">
        <f t="shared" si="60"/>
        <v>0</v>
      </c>
      <c r="AB118" s="44">
        <f t="shared" si="60"/>
        <v>0</v>
      </c>
      <c r="AC118" s="44">
        <f t="shared" si="60"/>
        <v>0</v>
      </c>
      <c r="AD118" s="44">
        <f t="shared" si="60"/>
        <v>0</v>
      </c>
      <c r="AE118" s="44">
        <f t="shared" si="60"/>
        <v>0</v>
      </c>
      <c r="AF118" s="44">
        <f t="shared" si="60"/>
        <v>0</v>
      </c>
      <c r="AG118" s="44">
        <f t="shared" si="60"/>
        <v>0</v>
      </c>
      <c r="AH118" s="44">
        <f t="shared" si="60"/>
        <v>0</v>
      </c>
      <c r="AI118" s="44">
        <f t="shared" si="60"/>
        <v>0</v>
      </c>
      <c r="AJ118" s="44">
        <f t="shared" si="60"/>
        <v>0</v>
      </c>
      <c r="AK118" s="44">
        <f t="shared" si="60"/>
        <v>0</v>
      </c>
      <c r="AL118" s="44">
        <f t="shared" si="60"/>
        <v>0</v>
      </c>
    </row>
    <row r="119" spans="1:38" x14ac:dyDescent="0.25">
      <c r="A119" s="282">
        <f t="shared" si="57"/>
        <v>0</v>
      </c>
      <c r="B119" s="39">
        <f>+DESP_JANEIRO!B118</f>
        <v>0</v>
      </c>
      <c r="C119" s="39">
        <f>+DESP_JANEIRO!C118</f>
        <v>0</v>
      </c>
      <c r="D119" s="40">
        <f ca="1">+DESP_JANEIRO!F118</f>
        <v>0</v>
      </c>
      <c r="E119" s="41">
        <f>+DESP_JANEIRO!D118</f>
        <v>0</v>
      </c>
      <c r="F119" s="42" t="str">
        <f>+DESP_JANEIRO!G118</f>
        <v>-</v>
      </c>
      <c r="G119" s="43">
        <f>+DESP_JANEIRO!H118</f>
        <v>0</v>
      </c>
      <c r="H119" s="44">
        <f t="shared" si="58"/>
        <v>0</v>
      </c>
      <c r="I119" s="44">
        <f t="shared" si="59"/>
        <v>0</v>
      </c>
      <c r="J119" s="44">
        <f t="shared" si="59"/>
        <v>0</v>
      </c>
      <c r="K119" s="44">
        <f t="shared" si="59"/>
        <v>0</v>
      </c>
      <c r="L119" s="44">
        <f t="shared" si="59"/>
        <v>0</v>
      </c>
      <c r="M119" s="44">
        <f t="shared" si="59"/>
        <v>0</v>
      </c>
      <c r="N119" s="44">
        <f t="shared" si="59"/>
        <v>0</v>
      </c>
      <c r="O119" s="44">
        <f t="shared" si="59"/>
        <v>0</v>
      </c>
      <c r="P119" s="44">
        <f t="shared" si="59"/>
        <v>0</v>
      </c>
      <c r="Q119" s="44">
        <f t="shared" si="59"/>
        <v>0</v>
      </c>
      <c r="R119" s="44">
        <f t="shared" si="59"/>
        <v>0</v>
      </c>
      <c r="S119" s="44">
        <f t="shared" si="59"/>
        <v>0</v>
      </c>
      <c r="T119" s="44">
        <f t="shared" si="59"/>
        <v>0</v>
      </c>
      <c r="U119" s="44">
        <f t="shared" si="59"/>
        <v>0</v>
      </c>
      <c r="V119" s="44">
        <f t="shared" si="59"/>
        <v>0</v>
      </c>
      <c r="W119" s="44">
        <f t="shared" si="59"/>
        <v>0</v>
      </c>
      <c r="X119" s="44">
        <f t="shared" si="60"/>
        <v>0</v>
      </c>
      <c r="Y119" s="44">
        <f t="shared" si="60"/>
        <v>0</v>
      </c>
      <c r="Z119" s="44">
        <f t="shared" si="60"/>
        <v>0</v>
      </c>
      <c r="AA119" s="44">
        <f t="shared" si="60"/>
        <v>0</v>
      </c>
      <c r="AB119" s="44">
        <f t="shared" si="60"/>
        <v>0</v>
      </c>
      <c r="AC119" s="44">
        <f t="shared" si="60"/>
        <v>0</v>
      </c>
      <c r="AD119" s="44">
        <f t="shared" si="60"/>
        <v>0</v>
      </c>
      <c r="AE119" s="44">
        <f t="shared" si="60"/>
        <v>0</v>
      </c>
      <c r="AF119" s="44">
        <f t="shared" si="60"/>
        <v>0</v>
      </c>
      <c r="AG119" s="44">
        <f t="shared" si="60"/>
        <v>0</v>
      </c>
      <c r="AH119" s="44">
        <f t="shared" si="60"/>
        <v>0</v>
      </c>
      <c r="AI119" s="44">
        <f t="shared" si="60"/>
        <v>0</v>
      </c>
      <c r="AJ119" s="44">
        <f t="shared" si="60"/>
        <v>0</v>
      </c>
      <c r="AK119" s="44">
        <f t="shared" si="60"/>
        <v>0</v>
      </c>
      <c r="AL119" s="44">
        <f t="shared" si="60"/>
        <v>0</v>
      </c>
    </row>
    <row r="120" spans="1:38" x14ac:dyDescent="0.25">
      <c r="A120" s="282">
        <f t="shared" si="57"/>
        <v>0</v>
      </c>
      <c r="B120" s="39">
        <f>+DESP_JANEIRO!B119</f>
        <v>0</v>
      </c>
      <c r="C120" s="39">
        <f>+DESP_JANEIRO!C119</f>
        <v>0</v>
      </c>
      <c r="D120" s="40">
        <f ca="1">+DESP_JANEIRO!F119</f>
        <v>0</v>
      </c>
      <c r="E120" s="41">
        <f>+DESP_JANEIRO!D119</f>
        <v>0</v>
      </c>
      <c r="F120" s="42" t="str">
        <f>+DESP_JANEIRO!G119</f>
        <v>-</v>
      </c>
      <c r="G120" s="43">
        <f>+DESP_JANEIRO!H119</f>
        <v>0</v>
      </c>
      <c r="H120" s="44">
        <f t="shared" si="58"/>
        <v>0</v>
      </c>
      <c r="I120" s="44">
        <f t="shared" si="59"/>
        <v>0</v>
      </c>
      <c r="J120" s="44">
        <f t="shared" si="59"/>
        <v>0</v>
      </c>
      <c r="K120" s="44">
        <f t="shared" si="59"/>
        <v>0</v>
      </c>
      <c r="L120" s="44">
        <f t="shared" si="59"/>
        <v>0</v>
      </c>
      <c r="M120" s="44">
        <f t="shared" si="59"/>
        <v>0</v>
      </c>
      <c r="N120" s="44">
        <f t="shared" si="59"/>
        <v>0</v>
      </c>
      <c r="O120" s="44">
        <f t="shared" si="59"/>
        <v>0</v>
      </c>
      <c r="P120" s="44">
        <f t="shared" si="59"/>
        <v>0</v>
      </c>
      <c r="Q120" s="44">
        <f t="shared" si="59"/>
        <v>0</v>
      </c>
      <c r="R120" s="44">
        <f t="shared" si="59"/>
        <v>0</v>
      </c>
      <c r="S120" s="44">
        <f t="shared" si="59"/>
        <v>0</v>
      </c>
      <c r="T120" s="44">
        <f t="shared" si="59"/>
        <v>0</v>
      </c>
      <c r="U120" s="44">
        <f t="shared" si="59"/>
        <v>0</v>
      </c>
      <c r="V120" s="44">
        <f t="shared" si="59"/>
        <v>0</v>
      </c>
      <c r="W120" s="44">
        <f t="shared" si="59"/>
        <v>0</v>
      </c>
      <c r="X120" s="44">
        <f t="shared" si="60"/>
        <v>0</v>
      </c>
      <c r="Y120" s="44">
        <f t="shared" si="60"/>
        <v>0</v>
      </c>
      <c r="Z120" s="44">
        <f t="shared" si="60"/>
        <v>0</v>
      </c>
      <c r="AA120" s="44">
        <f t="shared" si="60"/>
        <v>0</v>
      </c>
      <c r="AB120" s="44">
        <f t="shared" si="60"/>
        <v>0</v>
      </c>
      <c r="AC120" s="44">
        <f t="shared" si="60"/>
        <v>0</v>
      </c>
      <c r="AD120" s="44">
        <f t="shared" si="60"/>
        <v>0</v>
      </c>
      <c r="AE120" s="44">
        <f t="shared" si="60"/>
        <v>0</v>
      </c>
      <c r="AF120" s="44">
        <f t="shared" si="60"/>
        <v>0</v>
      </c>
      <c r="AG120" s="44">
        <f t="shared" si="60"/>
        <v>0</v>
      </c>
      <c r="AH120" s="44">
        <f t="shared" si="60"/>
        <v>0</v>
      </c>
      <c r="AI120" s="44">
        <f t="shared" si="60"/>
        <v>0</v>
      </c>
      <c r="AJ120" s="44">
        <f t="shared" si="60"/>
        <v>0</v>
      </c>
      <c r="AK120" s="44">
        <f t="shared" si="60"/>
        <v>0</v>
      </c>
      <c r="AL120" s="44">
        <f t="shared" si="60"/>
        <v>0</v>
      </c>
    </row>
    <row r="121" spans="1:38" x14ac:dyDescent="0.25">
      <c r="A121" s="282">
        <f t="shared" si="57"/>
        <v>0</v>
      </c>
      <c r="B121" s="39">
        <f>+DESP_JANEIRO!B120</f>
        <v>0</v>
      </c>
      <c r="C121" s="39">
        <f>+DESP_JANEIRO!C120</f>
        <v>0</v>
      </c>
      <c r="D121" s="40">
        <f ca="1">+DESP_JANEIRO!F120</f>
        <v>0</v>
      </c>
      <c r="E121" s="41">
        <f>+DESP_JANEIRO!D120</f>
        <v>0</v>
      </c>
      <c r="F121" s="42" t="str">
        <f>+DESP_JANEIRO!G120</f>
        <v>-</v>
      </c>
      <c r="G121" s="43">
        <f>+DESP_JANEIRO!H120</f>
        <v>0</v>
      </c>
      <c r="H121" s="44">
        <f t="shared" si="58"/>
        <v>0</v>
      </c>
      <c r="I121" s="44">
        <f t="shared" si="59"/>
        <v>0</v>
      </c>
      <c r="J121" s="44">
        <f t="shared" si="59"/>
        <v>0</v>
      </c>
      <c r="K121" s="44">
        <f t="shared" si="59"/>
        <v>0</v>
      </c>
      <c r="L121" s="44">
        <f t="shared" si="59"/>
        <v>0</v>
      </c>
      <c r="M121" s="44">
        <f t="shared" si="59"/>
        <v>0</v>
      </c>
      <c r="N121" s="44">
        <f t="shared" si="59"/>
        <v>0</v>
      </c>
      <c r="O121" s="44">
        <f t="shared" si="59"/>
        <v>0</v>
      </c>
      <c r="P121" s="44">
        <f t="shared" si="59"/>
        <v>0</v>
      </c>
      <c r="Q121" s="44">
        <f t="shared" si="59"/>
        <v>0</v>
      </c>
      <c r="R121" s="44">
        <f t="shared" si="59"/>
        <v>0</v>
      </c>
      <c r="S121" s="44">
        <f t="shared" si="59"/>
        <v>0</v>
      </c>
      <c r="T121" s="44">
        <f t="shared" si="59"/>
        <v>0</v>
      </c>
      <c r="U121" s="44">
        <f t="shared" si="59"/>
        <v>0</v>
      </c>
      <c r="V121" s="44">
        <f t="shared" si="59"/>
        <v>0</v>
      </c>
      <c r="W121" s="44">
        <f t="shared" si="59"/>
        <v>0</v>
      </c>
      <c r="X121" s="44">
        <f t="shared" si="60"/>
        <v>0</v>
      </c>
      <c r="Y121" s="44">
        <f t="shared" si="60"/>
        <v>0</v>
      </c>
      <c r="Z121" s="44">
        <f t="shared" si="60"/>
        <v>0</v>
      </c>
      <c r="AA121" s="44">
        <f t="shared" si="60"/>
        <v>0</v>
      </c>
      <c r="AB121" s="44">
        <f t="shared" si="60"/>
        <v>0</v>
      </c>
      <c r="AC121" s="44">
        <f t="shared" si="60"/>
        <v>0</v>
      </c>
      <c r="AD121" s="44">
        <f t="shared" si="60"/>
        <v>0</v>
      </c>
      <c r="AE121" s="44">
        <f t="shared" si="60"/>
        <v>0</v>
      </c>
      <c r="AF121" s="44">
        <f t="shared" si="60"/>
        <v>0</v>
      </c>
      <c r="AG121" s="44">
        <f t="shared" si="60"/>
        <v>0</v>
      </c>
      <c r="AH121" s="44">
        <f t="shared" si="60"/>
        <v>0</v>
      </c>
      <c r="AI121" s="44">
        <f t="shared" si="60"/>
        <v>0</v>
      </c>
      <c r="AJ121" s="44">
        <f t="shared" si="60"/>
        <v>0</v>
      </c>
      <c r="AK121" s="44">
        <f t="shared" si="60"/>
        <v>0</v>
      </c>
      <c r="AL121" s="44">
        <f t="shared" si="60"/>
        <v>0</v>
      </c>
    </row>
    <row r="122" spans="1:38" x14ac:dyDescent="0.25">
      <c r="A122" s="282">
        <f t="shared" si="57"/>
        <v>0</v>
      </c>
      <c r="B122" s="39">
        <f>+DESP_JANEIRO!B121</f>
        <v>0</v>
      </c>
      <c r="C122" s="39">
        <f>+DESP_JANEIRO!C121</f>
        <v>0</v>
      </c>
      <c r="D122" s="40">
        <f ca="1">+DESP_JANEIRO!F121</f>
        <v>0</v>
      </c>
      <c r="E122" s="41">
        <f>+DESP_JANEIRO!D121</f>
        <v>0</v>
      </c>
      <c r="F122" s="42" t="str">
        <f>+DESP_JANEIRO!G121</f>
        <v>-</v>
      </c>
      <c r="G122" s="43">
        <f>+DESP_JANEIRO!H121</f>
        <v>0</v>
      </c>
      <c r="H122" s="44">
        <f t="shared" si="58"/>
        <v>0</v>
      </c>
      <c r="I122" s="44">
        <f t="shared" si="59"/>
        <v>0</v>
      </c>
      <c r="J122" s="44">
        <f t="shared" si="59"/>
        <v>0</v>
      </c>
      <c r="K122" s="44">
        <f t="shared" si="59"/>
        <v>0</v>
      </c>
      <c r="L122" s="44">
        <f t="shared" si="59"/>
        <v>0</v>
      </c>
      <c r="M122" s="44">
        <f t="shared" si="59"/>
        <v>0</v>
      </c>
      <c r="N122" s="44">
        <f t="shared" si="59"/>
        <v>0</v>
      </c>
      <c r="O122" s="44">
        <f t="shared" si="59"/>
        <v>0</v>
      </c>
      <c r="P122" s="44">
        <f t="shared" si="59"/>
        <v>0</v>
      </c>
      <c r="Q122" s="44">
        <f t="shared" si="59"/>
        <v>0</v>
      </c>
      <c r="R122" s="44">
        <f t="shared" si="59"/>
        <v>0</v>
      </c>
      <c r="S122" s="44">
        <f t="shared" si="59"/>
        <v>0</v>
      </c>
      <c r="T122" s="44">
        <f t="shared" si="59"/>
        <v>0</v>
      </c>
      <c r="U122" s="44">
        <f t="shared" si="59"/>
        <v>0</v>
      </c>
      <c r="V122" s="44">
        <f t="shared" si="59"/>
        <v>0</v>
      </c>
      <c r="W122" s="44">
        <f t="shared" si="59"/>
        <v>0</v>
      </c>
      <c r="X122" s="44">
        <f t="shared" si="60"/>
        <v>0</v>
      </c>
      <c r="Y122" s="44">
        <f t="shared" si="60"/>
        <v>0</v>
      </c>
      <c r="Z122" s="44">
        <f t="shared" si="60"/>
        <v>0</v>
      </c>
      <c r="AA122" s="44">
        <f t="shared" si="60"/>
        <v>0</v>
      </c>
      <c r="AB122" s="44">
        <f t="shared" si="60"/>
        <v>0</v>
      </c>
      <c r="AC122" s="44">
        <f t="shared" si="60"/>
        <v>0</v>
      </c>
      <c r="AD122" s="44">
        <f t="shared" si="60"/>
        <v>0</v>
      </c>
      <c r="AE122" s="44">
        <f t="shared" si="60"/>
        <v>0</v>
      </c>
      <c r="AF122" s="44">
        <f t="shared" si="60"/>
        <v>0</v>
      </c>
      <c r="AG122" s="44">
        <f t="shared" si="60"/>
        <v>0</v>
      </c>
      <c r="AH122" s="44">
        <f t="shared" si="60"/>
        <v>0</v>
      </c>
      <c r="AI122" s="44">
        <f t="shared" si="60"/>
        <v>0</v>
      </c>
      <c r="AJ122" s="44">
        <f t="shared" si="60"/>
        <v>0</v>
      </c>
      <c r="AK122" s="44">
        <f t="shared" si="60"/>
        <v>0</v>
      </c>
      <c r="AL122" s="44">
        <f t="shared" si="60"/>
        <v>0</v>
      </c>
    </row>
    <row r="123" spans="1:38" x14ac:dyDescent="0.25">
      <c r="A123" s="45" t="s">
        <v>11</v>
      </c>
      <c r="B123" s="46">
        <f>+SUM(B115:B122)</f>
        <v>4500</v>
      </c>
      <c r="C123" s="46"/>
      <c r="D123" s="46">
        <f ca="1">+SUM(D115:D122)</f>
        <v>1750</v>
      </c>
      <c r="E123" s="46">
        <f>+SUM(E115:E122)</f>
        <v>0</v>
      </c>
      <c r="F123" s="48">
        <f t="shared" ref="F123" si="61">+IF(B123=0,"-",E123/B123)</f>
        <v>0</v>
      </c>
      <c r="G123" s="21"/>
      <c r="H123" s="46">
        <f>+SUM(H115:H122)</f>
        <v>1750</v>
      </c>
      <c r="I123" s="46">
        <f t="shared" ref="I123:AL123" si="62">+SUM(I115:I122)</f>
        <v>0</v>
      </c>
      <c r="J123" s="46">
        <f t="shared" si="62"/>
        <v>0</v>
      </c>
      <c r="K123" s="46">
        <f t="shared" si="62"/>
        <v>0</v>
      </c>
      <c r="L123" s="46">
        <f t="shared" si="62"/>
        <v>0</v>
      </c>
      <c r="M123" s="46">
        <f t="shared" si="62"/>
        <v>0</v>
      </c>
      <c r="N123" s="46">
        <f t="shared" si="62"/>
        <v>0</v>
      </c>
      <c r="O123" s="46">
        <f t="shared" si="62"/>
        <v>0</v>
      </c>
      <c r="P123" s="46">
        <f t="shared" si="62"/>
        <v>0</v>
      </c>
      <c r="Q123" s="46">
        <f t="shared" si="62"/>
        <v>0</v>
      </c>
      <c r="R123" s="46">
        <f t="shared" si="62"/>
        <v>0</v>
      </c>
      <c r="S123" s="46">
        <f t="shared" si="62"/>
        <v>0</v>
      </c>
      <c r="T123" s="46">
        <f t="shared" si="62"/>
        <v>0</v>
      </c>
      <c r="U123" s="46">
        <f t="shared" si="62"/>
        <v>0</v>
      </c>
      <c r="V123" s="46">
        <f t="shared" si="62"/>
        <v>2750</v>
      </c>
      <c r="W123" s="46">
        <f t="shared" si="62"/>
        <v>0</v>
      </c>
      <c r="X123" s="46">
        <f t="shared" si="62"/>
        <v>0</v>
      </c>
      <c r="Y123" s="46">
        <f t="shared" si="62"/>
        <v>0</v>
      </c>
      <c r="Z123" s="46">
        <f t="shared" si="62"/>
        <v>0</v>
      </c>
      <c r="AA123" s="46">
        <f t="shared" si="62"/>
        <v>0</v>
      </c>
      <c r="AB123" s="46">
        <f t="shared" si="62"/>
        <v>0</v>
      </c>
      <c r="AC123" s="46">
        <f t="shared" si="62"/>
        <v>0</v>
      </c>
      <c r="AD123" s="46">
        <f t="shared" si="62"/>
        <v>0</v>
      </c>
      <c r="AE123" s="46">
        <f t="shared" si="62"/>
        <v>0</v>
      </c>
      <c r="AF123" s="46">
        <f t="shared" si="62"/>
        <v>0</v>
      </c>
      <c r="AG123" s="46">
        <f t="shared" si="62"/>
        <v>0</v>
      </c>
      <c r="AH123" s="46">
        <f t="shared" si="62"/>
        <v>0</v>
      </c>
      <c r="AI123" s="46">
        <f t="shared" si="62"/>
        <v>0</v>
      </c>
      <c r="AJ123" s="46">
        <f t="shared" si="62"/>
        <v>0</v>
      </c>
      <c r="AK123" s="46">
        <f t="shared" si="62"/>
        <v>0</v>
      </c>
      <c r="AL123" s="46">
        <f t="shared" si="62"/>
        <v>0</v>
      </c>
    </row>
    <row r="124" spans="1:38" x14ac:dyDescent="0.25">
      <c r="A124" s="37"/>
      <c r="B124" s="52"/>
      <c r="C124" s="51"/>
      <c r="D124" s="51"/>
      <c r="E124" s="52"/>
      <c r="F124" s="54"/>
      <c r="G124" s="35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</row>
    <row r="125" spans="1:38" x14ac:dyDescent="0.25">
      <c r="A125" s="282">
        <f t="shared" ref="A125:A131" si="63">+SUM(H125:AL125)-B125</f>
        <v>0</v>
      </c>
      <c r="B125" s="39">
        <f>+DESP_JANEIRO!B124</f>
        <v>6900</v>
      </c>
      <c r="C125" s="39">
        <f>+DESP_JANEIRO!C124</f>
        <v>5</v>
      </c>
      <c r="D125" s="40">
        <f ca="1">+DESP_JANEIRO!F124</f>
        <v>6900</v>
      </c>
      <c r="E125" s="41">
        <f>+DESP_JANEIRO!D124</f>
        <v>0</v>
      </c>
      <c r="F125" s="42">
        <f>+DESP_JANEIRO!G124</f>
        <v>0</v>
      </c>
      <c r="G125" s="43">
        <f>+DESP_JANEIRO!H124</f>
        <v>0</v>
      </c>
      <c r="H125" s="44">
        <f t="shared" ref="H125:H131" si="64">+IF(H$3&gt;$D$2,0,IF(OR(C125=-1,C125=H$3),$B125,0))</f>
        <v>0</v>
      </c>
      <c r="I125" s="44">
        <f t="shared" ref="I125:W131" si="65">+IF(I$3&gt;$D$2,0,IF($C125=I$3,$B125,0))</f>
        <v>0</v>
      </c>
      <c r="J125" s="44">
        <f t="shared" si="65"/>
        <v>0</v>
      </c>
      <c r="K125" s="44">
        <f t="shared" si="65"/>
        <v>0</v>
      </c>
      <c r="L125" s="44">
        <f t="shared" si="65"/>
        <v>6900</v>
      </c>
      <c r="M125" s="44">
        <f t="shared" si="65"/>
        <v>0</v>
      </c>
      <c r="N125" s="44">
        <f t="shared" si="65"/>
        <v>0</v>
      </c>
      <c r="O125" s="44">
        <f t="shared" si="65"/>
        <v>0</v>
      </c>
      <c r="P125" s="44">
        <f t="shared" si="65"/>
        <v>0</v>
      </c>
      <c r="Q125" s="44">
        <f t="shared" si="65"/>
        <v>0</v>
      </c>
      <c r="R125" s="44">
        <f t="shared" si="65"/>
        <v>0</v>
      </c>
      <c r="S125" s="44">
        <f t="shared" si="65"/>
        <v>0</v>
      </c>
      <c r="T125" s="44">
        <f t="shared" si="65"/>
        <v>0</v>
      </c>
      <c r="U125" s="44">
        <f t="shared" si="65"/>
        <v>0</v>
      </c>
      <c r="V125" s="44">
        <f t="shared" si="65"/>
        <v>0</v>
      </c>
      <c r="W125" s="44">
        <f t="shared" si="65"/>
        <v>0</v>
      </c>
      <c r="X125" s="44">
        <f t="shared" ref="X125:AL131" si="66">+IF(X$3&gt;$D$2,0,IF($C125=X$3,$B125,0))</f>
        <v>0</v>
      </c>
      <c r="Y125" s="44">
        <f t="shared" si="66"/>
        <v>0</v>
      </c>
      <c r="Z125" s="44">
        <f t="shared" si="66"/>
        <v>0</v>
      </c>
      <c r="AA125" s="44">
        <f t="shared" si="66"/>
        <v>0</v>
      </c>
      <c r="AB125" s="44">
        <f t="shared" si="66"/>
        <v>0</v>
      </c>
      <c r="AC125" s="44">
        <f t="shared" si="66"/>
        <v>0</v>
      </c>
      <c r="AD125" s="44">
        <f t="shared" si="66"/>
        <v>0</v>
      </c>
      <c r="AE125" s="44">
        <f t="shared" si="66"/>
        <v>0</v>
      </c>
      <c r="AF125" s="44">
        <f t="shared" si="66"/>
        <v>0</v>
      </c>
      <c r="AG125" s="44">
        <f t="shared" si="66"/>
        <v>0</v>
      </c>
      <c r="AH125" s="44">
        <f t="shared" si="66"/>
        <v>0</v>
      </c>
      <c r="AI125" s="44">
        <f t="shared" si="66"/>
        <v>0</v>
      </c>
      <c r="AJ125" s="44">
        <f t="shared" si="66"/>
        <v>0</v>
      </c>
      <c r="AK125" s="44">
        <f t="shared" si="66"/>
        <v>0</v>
      </c>
      <c r="AL125" s="44">
        <f t="shared" si="66"/>
        <v>0</v>
      </c>
    </row>
    <row r="126" spans="1:38" x14ac:dyDescent="0.25">
      <c r="A126" s="282">
        <f t="shared" si="63"/>
        <v>0</v>
      </c>
      <c r="B126" s="39">
        <f>+DESP_JANEIRO!B125</f>
        <v>6900</v>
      </c>
      <c r="C126" s="39">
        <f>+DESP_JANEIRO!C125</f>
        <v>12</v>
      </c>
      <c r="D126" s="40">
        <f ca="1">+DESP_JANEIRO!F125</f>
        <v>6900</v>
      </c>
      <c r="E126" s="41">
        <f>+DESP_JANEIRO!D125</f>
        <v>0</v>
      </c>
      <c r="F126" s="42">
        <f>+DESP_JANEIRO!G125</f>
        <v>0</v>
      </c>
      <c r="G126" s="43">
        <f>+DESP_JANEIRO!H125</f>
        <v>0</v>
      </c>
      <c r="H126" s="44">
        <f t="shared" si="64"/>
        <v>0</v>
      </c>
      <c r="I126" s="44">
        <f t="shared" si="65"/>
        <v>0</v>
      </c>
      <c r="J126" s="44">
        <f t="shared" si="65"/>
        <v>0</v>
      </c>
      <c r="K126" s="44">
        <f t="shared" si="65"/>
        <v>0</v>
      </c>
      <c r="L126" s="44">
        <f t="shared" si="65"/>
        <v>0</v>
      </c>
      <c r="M126" s="44">
        <f t="shared" si="65"/>
        <v>0</v>
      </c>
      <c r="N126" s="44">
        <f t="shared" si="65"/>
        <v>0</v>
      </c>
      <c r="O126" s="44">
        <f t="shared" si="65"/>
        <v>0</v>
      </c>
      <c r="P126" s="44">
        <f t="shared" si="65"/>
        <v>0</v>
      </c>
      <c r="Q126" s="44">
        <f t="shared" si="65"/>
        <v>0</v>
      </c>
      <c r="R126" s="44">
        <f t="shared" si="65"/>
        <v>0</v>
      </c>
      <c r="S126" s="44">
        <f t="shared" si="65"/>
        <v>6900</v>
      </c>
      <c r="T126" s="44">
        <f t="shared" si="65"/>
        <v>0</v>
      </c>
      <c r="U126" s="44">
        <f t="shared" si="65"/>
        <v>0</v>
      </c>
      <c r="V126" s="44">
        <f t="shared" si="65"/>
        <v>0</v>
      </c>
      <c r="W126" s="44">
        <f t="shared" si="65"/>
        <v>0</v>
      </c>
      <c r="X126" s="44">
        <f t="shared" si="66"/>
        <v>0</v>
      </c>
      <c r="Y126" s="44">
        <f t="shared" si="66"/>
        <v>0</v>
      </c>
      <c r="Z126" s="44">
        <f t="shared" si="66"/>
        <v>0</v>
      </c>
      <c r="AA126" s="44">
        <f t="shared" si="66"/>
        <v>0</v>
      </c>
      <c r="AB126" s="44">
        <f t="shared" si="66"/>
        <v>0</v>
      </c>
      <c r="AC126" s="44">
        <f t="shared" si="66"/>
        <v>0</v>
      </c>
      <c r="AD126" s="44">
        <f t="shared" si="66"/>
        <v>0</v>
      </c>
      <c r="AE126" s="44">
        <f t="shared" si="66"/>
        <v>0</v>
      </c>
      <c r="AF126" s="44">
        <f t="shared" si="66"/>
        <v>0</v>
      </c>
      <c r="AG126" s="44">
        <f t="shared" si="66"/>
        <v>0</v>
      </c>
      <c r="AH126" s="44">
        <f t="shared" si="66"/>
        <v>0</v>
      </c>
      <c r="AI126" s="44">
        <f t="shared" si="66"/>
        <v>0</v>
      </c>
      <c r="AJ126" s="44">
        <f t="shared" si="66"/>
        <v>0</v>
      </c>
      <c r="AK126" s="44">
        <f t="shared" si="66"/>
        <v>0</v>
      </c>
      <c r="AL126" s="44">
        <f t="shared" si="66"/>
        <v>0</v>
      </c>
    </row>
    <row r="127" spans="1:38" x14ac:dyDescent="0.25">
      <c r="A127" s="282">
        <f t="shared" si="63"/>
        <v>0</v>
      </c>
      <c r="B127" s="39">
        <f>+DESP_JANEIRO!B126</f>
        <v>6900</v>
      </c>
      <c r="C127" s="39">
        <f>+DESP_JANEIRO!C126</f>
        <v>19</v>
      </c>
      <c r="D127" s="40">
        <f ca="1">+DESP_JANEIRO!F126</f>
        <v>0</v>
      </c>
      <c r="E127" s="41">
        <f>+DESP_JANEIRO!D126</f>
        <v>0</v>
      </c>
      <c r="F127" s="42">
        <f>+DESP_JANEIRO!G126</f>
        <v>0</v>
      </c>
      <c r="G127" s="43">
        <f>+DESP_JANEIRO!H126</f>
        <v>0</v>
      </c>
      <c r="H127" s="44">
        <f t="shared" si="64"/>
        <v>0</v>
      </c>
      <c r="I127" s="44">
        <f t="shared" si="65"/>
        <v>0</v>
      </c>
      <c r="J127" s="44">
        <f t="shared" si="65"/>
        <v>0</v>
      </c>
      <c r="K127" s="44">
        <f t="shared" si="65"/>
        <v>0</v>
      </c>
      <c r="L127" s="44">
        <f t="shared" si="65"/>
        <v>0</v>
      </c>
      <c r="M127" s="44">
        <f t="shared" si="65"/>
        <v>0</v>
      </c>
      <c r="N127" s="44">
        <f t="shared" si="65"/>
        <v>0</v>
      </c>
      <c r="O127" s="44">
        <f t="shared" si="65"/>
        <v>0</v>
      </c>
      <c r="P127" s="44">
        <f t="shared" si="65"/>
        <v>0</v>
      </c>
      <c r="Q127" s="44">
        <f t="shared" si="65"/>
        <v>0</v>
      </c>
      <c r="R127" s="44">
        <f t="shared" si="65"/>
        <v>0</v>
      </c>
      <c r="S127" s="44">
        <f t="shared" si="65"/>
        <v>0</v>
      </c>
      <c r="T127" s="44">
        <f t="shared" si="65"/>
        <v>0</v>
      </c>
      <c r="U127" s="44">
        <f t="shared" si="65"/>
        <v>0</v>
      </c>
      <c r="V127" s="44">
        <f t="shared" si="65"/>
        <v>0</v>
      </c>
      <c r="W127" s="44">
        <f t="shared" si="65"/>
        <v>0</v>
      </c>
      <c r="X127" s="44">
        <f t="shared" si="66"/>
        <v>0</v>
      </c>
      <c r="Y127" s="44">
        <f t="shared" si="66"/>
        <v>0</v>
      </c>
      <c r="Z127" s="44">
        <f t="shared" si="66"/>
        <v>6900</v>
      </c>
      <c r="AA127" s="44">
        <f t="shared" si="66"/>
        <v>0</v>
      </c>
      <c r="AB127" s="44">
        <f t="shared" si="66"/>
        <v>0</v>
      </c>
      <c r="AC127" s="44">
        <f t="shared" si="66"/>
        <v>0</v>
      </c>
      <c r="AD127" s="44">
        <f t="shared" si="66"/>
        <v>0</v>
      </c>
      <c r="AE127" s="44">
        <f t="shared" si="66"/>
        <v>0</v>
      </c>
      <c r="AF127" s="44">
        <f t="shared" si="66"/>
        <v>0</v>
      </c>
      <c r="AG127" s="44">
        <f t="shared" si="66"/>
        <v>0</v>
      </c>
      <c r="AH127" s="44">
        <f t="shared" si="66"/>
        <v>0</v>
      </c>
      <c r="AI127" s="44">
        <f t="shared" si="66"/>
        <v>0</v>
      </c>
      <c r="AJ127" s="44">
        <f t="shared" si="66"/>
        <v>0</v>
      </c>
      <c r="AK127" s="44">
        <f t="shared" si="66"/>
        <v>0</v>
      </c>
      <c r="AL127" s="44">
        <f t="shared" si="66"/>
        <v>0</v>
      </c>
    </row>
    <row r="128" spans="1:38" x14ac:dyDescent="0.25">
      <c r="A128" s="282">
        <f t="shared" si="63"/>
        <v>0</v>
      </c>
      <c r="B128" s="39">
        <f>+DESP_JANEIRO!B127</f>
        <v>6900</v>
      </c>
      <c r="C128" s="39">
        <f>+DESP_JANEIRO!C127</f>
        <v>26</v>
      </c>
      <c r="D128" s="40">
        <f ca="1">+DESP_JANEIRO!F127</f>
        <v>0</v>
      </c>
      <c r="E128" s="41">
        <f>+DESP_JANEIRO!D127</f>
        <v>0</v>
      </c>
      <c r="F128" s="42">
        <f>+DESP_JANEIRO!G127</f>
        <v>0</v>
      </c>
      <c r="G128" s="43">
        <f>+DESP_JANEIRO!H127</f>
        <v>0</v>
      </c>
      <c r="H128" s="44">
        <f t="shared" si="64"/>
        <v>0</v>
      </c>
      <c r="I128" s="44">
        <f t="shared" si="65"/>
        <v>0</v>
      </c>
      <c r="J128" s="44">
        <f t="shared" si="65"/>
        <v>0</v>
      </c>
      <c r="K128" s="44">
        <f t="shared" si="65"/>
        <v>0</v>
      </c>
      <c r="L128" s="44">
        <f t="shared" si="65"/>
        <v>0</v>
      </c>
      <c r="M128" s="44">
        <f t="shared" si="65"/>
        <v>0</v>
      </c>
      <c r="N128" s="44">
        <f t="shared" si="65"/>
        <v>0</v>
      </c>
      <c r="O128" s="44">
        <f t="shared" si="65"/>
        <v>0</v>
      </c>
      <c r="P128" s="44">
        <f t="shared" si="65"/>
        <v>0</v>
      </c>
      <c r="Q128" s="44">
        <f t="shared" si="65"/>
        <v>0</v>
      </c>
      <c r="R128" s="44">
        <f t="shared" si="65"/>
        <v>0</v>
      </c>
      <c r="S128" s="44">
        <f t="shared" si="65"/>
        <v>0</v>
      </c>
      <c r="T128" s="44">
        <f t="shared" si="65"/>
        <v>0</v>
      </c>
      <c r="U128" s="44">
        <f t="shared" si="65"/>
        <v>0</v>
      </c>
      <c r="V128" s="44">
        <f t="shared" si="65"/>
        <v>0</v>
      </c>
      <c r="W128" s="44">
        <f t="shared" si="65"/>
        <v>0</v>
      </c>
      <c r="X128" s="44">
        <f t="shared" si="66"/>
        <v>0</v>
      </c>
      <c r="Y128" s="44">
        <f t="shared" si="66"/>
        <v>0</v>
      </c>
      <c r="Z128" s="44">
        <f t="shared" si="66"/>
        <v>0</v>
      </c>
      <c r="AA128" s="44">
        <f t="shared" si="66"/>
        <v>0</v>
      </c>
      <c r="AB128" s="44">
        <f t="shared" si="66"/>
        <v>0</v>
      </c>
      <c r="AC128" s="44">
        <f t="shared" si="66"/>
        <v>0</v>
      </c>
      <c r="AD128" s="44">
        <f t="shared" si="66"/>
        <v>0</v>
      </c>
      <c r="AE128" s="44">
        <f t="shared" si="66"/>
        <v>0</v>
      </c>
      <c r="AF128" s="44">
        <f t="shared" si="66"/>
        <v>0</v>
      </c>
      <c r="AG128" s="44">
        <f t="shared" si="66"/>
        <v>6900</v>
      </c>
      <c r="AH128" s="44">
        <f t="shared" si="66"/>
        <v>0</v>
      </c>
      <c r="AI128" s="44">
        <f t="shared" si="66"/>
        <v>0</v>
      </c>
      <c r="AJ128" s="44">
        <f t="shared" si="66"/>
        <v>0</v>
      </c>
      <c r="AK128" s="44">
        <f t="shared" si="66"/>
        <v>0</v>
      </c>
      <c r="AL128" s="44">
        <f t="shared" si="66"/>
        <v>0</v>
      </c>
    </row>
    <row r="129" spans="1:38" x14ac:dyDescent="0.25">
      <c r="A129" s="282">
        <f t="shared" si="63"/>
        <v>0</v>
      </c>
      <c r="B129" s="39">
        <f>+DESP_JANEIRO!B128</f>
        <v>0</v>
      </c>
      <c r="C129" s="39">
        <f>+DESP_JANEIRO!C128</f>
        <v>0</v>
      </c>
      <c r="D129" s="40">
        <f ca="1">+DESP_JANEIRO!F128</f>
        <v>0</v>
      </c>
      <c r="E129" s="41">
        <f>+DESP_JANEIRO!D128</f>
        <v>0</v>
      </c>
      <c r="F129" s="42" t="str">
        <f>+DESP_JANEIRO!G128</f>
        <v>-</v>
      </c>
      <c r="G129" s="43">
        <f>+DESP_JANEIRO!H128</f>
        <v>0</v>
      </c>
      <c r="H129" s="44">
        <f t="shared" si="64"/>
        <v>0</v>
      </c>
      <c r="I129" s="44">
        <f t="shared" si="65"/>
        <v>0</v>
      </c>
      <c r="J129" s="44">
        <f t="shared" si="65"/>
        <v>0</v>
      </c>
      <c r="K129" s="44">
        <f t="shared" si="65"/>
        <v>0</v>
      </c>
      <c r="L129" s="44">
        <f t="shared" si="65"/>
        <v>0</v>
      </c>
      <c r="M129" s="44">
        <f t="shared" si="65"/>
        <v>0</v>
      </c>
      <c r="N129" s="44">
        <f t="shared" si="65"/>
        <v>0</v>
      </c>
      <c r="O129" s="44">
        <f t="shared" si="65"/>
        <v>0</v>
      </c>
      <c r="P129" s="44">
        <f t="shared" si="65"/>
        <v>0</v>
      </c>
      <c r="Q129" s="44">
        <f t="shared" si="65"/>
        <v>0</v>
      </c>
      <c r="R129" s="44">
        <f t="shared" si="65"/>
        <v>0</v>
      </c>
      <c r="S129" s="44">
        <f t="shared" si="65"/>
        <v>0</v>
      </c>
      <c r="T129" s="44">
        <f t="shared" si="65"/>
        <v>0</v>
      </c>
      <c r="U129" s="44">
        <f t="shared" si="65"/>
        <v>0</v>
      </c>
      <c r="V129" s="44">
        <f t="shared" si="65"/>
        <v>0</v>
      </c>
      <c r="W129" s="44">
        <f t="shared" si="65"/>
        <v>0</v>
      </c>
      <c r="X129" s="44">
        <f t="shared" si="66"/>
        <v>0</v>
      </c>
      <c r="Y129" s="44">
        <f t="shared" si="66"/>
        <v>0</v>
      </c>
      <c r="Z129" s="44">
        <f t="shared" si="66"/>
        <v>0</v>
      </c>
      <c r="AA129" s="44">
        <f t="shared" si="66"/>
        <v>0</v>
      </c>
      <c r="AB129" s="44">
        <f t="shared" si="66"/>
        <v>0</v>
      </c>
      <c r="AC129" s="44">
        <f t="shared" si="66"/>
        <v>0</v>
      </c>
      <c r="AD129" s="44">
        <f t="shared" si="66"/>
        <v>0</v>
      </c>
      <c r="AE129" s="44">
        <f t="shared" si="66"/>
        <v>0</v>
      </c>
      <c r="AF129" s="44">
        <f t="shared" si="66"/>
        <v>0</v>
      </c>
      <c r="AG129" s="44">
        <f t="shared" si="66"/>
        <v>0</v>
      </c>
      <c r="AH129" s="44">
        <f t="shared" si="66"/>
        <v>0</v>
      </c>
      <c r="AI129" s="44">
        <f t="shared" si="66"/>
        <v>0</v>
      </c>
      <c r="AJ129" s="44">
        <f t="shared" si="66"/>
        <v>0</v>
      </c>
      <c r="AK129" s="44">
        <f t="shared" si="66"/>
        <v>0</v>
      </c>
      <c r="AL129" s="44">
        <f t="shared" si="66"/>
        <v>0</v>
      </c>
    </row>
    <row r="130" spans="1:38" x14ac:dyDescent="0.25">
      <c r="A130" s="282">
        <f t="shared" si="63"/>
        <v>0</v>
      </c>
      <c r="B130" s="39">
        <f>+DESP_JANEIRO!B129</f>
        <v>0</v>
      </c>
      <c r="C130" s="39">
        <f>+DESP_JANEIRO!C129</f>
        <v>0</v>
      </c>
      <c r="D130" s="40">
        <f ca="1">+DESP_JANEIRO!F129</f>
        <v>0</v>
      </c>
      <c r="E130" s="41">
        <f>+DESP_JANEIRO!D129</f>
        <v>0</v>
      </c>
      <c r="F130" s="42" t="str">
        <f>+DESP_JANEIRO!G129</f>
        <v>-</v>
      </c>
      <c r="G130" s="43">
        <f>+DESP_JANEIRO!H129</f>
        <v>0</v>
      </c>
      <c r="H130" s="44">
        <f t="shared" si="64"/>
        <v>0</v>
      </c>
      <c r="I130" s="44">
        <f t="shared" si="65"/>
        <v>0</v>
      </c>
      <c r="J130" s="44">
        <f t="shared" si="65"/>
        <v>0</v>
      </c>
      <c r="K130" s="44">
        <f t="shared" si="65"/>
        <v>0</v>
      </c>
      <c r="L130" s="44">
        <f t="shared" si="65"/>
        <v>0</v>
      </c>
      <c r="M130" s="44">
        <f t="shared" si="65"/>
        <v>0</v>
      </c>
      <c r="N130" s="44">
        <f t="shared" si="65"/>
        <v>0</v>
      </c>
      <c r="O130" s="44">
        <f t="shared" si="65"/>
        <v>0</v>
      </c>
      <c r="P130" s="44">
        <f t="shared" si="65"/>
        <v>0</v>
      </c>
      <c r="Q130" s="44">
        <f t="shared" si="65"/>
        <v>0</v>
      </c>
      <c r="R130" s="44">
        <f t="shared" si="65"/>
        <v>0</v>
      </c>
      <c r="S130" s="44">
        <f t="shared" si="65"/>
        <v>0</v>
      </c>
      <c r="T130" s="44">
        <f t="shared" si="65"/>
        <v>0</v>
      </c>
      <c r="U130" s="44">
        <f t="shared" si="65"/>
        <v>0</v>
      </c>
      <c r="V130" s="44">
        <f t="shared" si="65"/>
        <v>0</v>
      </c>
      <c r="W130" s="44">
        <f t="shared" si="65"/>
        <v>0</v>
      </c>
      <c r="X130" s="44">
        <f t="shared" si="66"/>
        <v>0</v>
      </c>
      <c r="Y130" s="44">
        <f t="shared" si="66"/>
        <v>0</v>
      </c>
      <c r="Z130" s="44">
        <f t="shared" si="66"/>
        <v>0</v>
      </c>
      <c r="AA130" s="44">
        <f t="shared" si="66"/>
        <v>0</v>
      </c>
      <c r="AB130" s="44">
        <f t="shared" si="66"/>
        <v>0</v>
      </c>
      <c r="AC130" s="44">
        <f t="shared" si="66"/>
        <v>0</v>
      </c>
      <c r="AD130" s="44">
        <f t="shared" si="66"/>
        <v>0</v>
      </c>
      <c r="AE130" s="44">
        <f t="shared" si="66"/>
        <v>0</v>
      </c>
      <c r="AF130" s="44">
        <f t="shared" si="66"/>
        <v>0</v>
      </c>
      <c r="AG130" s="44">
        <f t="shared" si="66"/>
        <v>0</v>
      </c>
      <c r="AH130" s="44">
        <f t="shared" si="66"/>
        <v>0</v>
      </c>
      <c r="AI130" s="44">
        <f t="shared" si="66"/>
        <v>0</v>
      </c>
      <c r="AJ130" s="44">
        <f t="shared" si="66"/>
        <v>0</v>
      </c>
      <c r="AK130" s="44">
        <f t="shared" si="66"/>
        <v>0</v>
      </c>
      <c r="AL130" s="44">
        <f t="shared" si="66"/>
        <v>0</v>
      </c>
    </row>
    <row r="131" spans="1:38" x14ac:dyDescent="0.25">
      <c r="A131" s="282">
        <f t="shared" si="63"/>
        <v>0</v>
      </c>
      <c r="B131" s="39">
        <f>+DESP_JANEIRO!B130</f>
        <v>1081</v>
      </c>
      <c r="C131" s="39">
        <f>+DESP_JANEIRO!C130</f>
        <v>10</v>
      </c>
      <c r="D131" s="40">
        <f ca="1">+DESP_JANEIRO!F130</f>
        <v>1081</v>
      </c>
      <c r="E131" s="41">
        <f>+DESP_JANEIRO!D130</f>
        <v>0</v>
      </c>
      <c r="F131" s="42">
        <f>+DESP_JANEIRO!G130</f>
        <v>0</v>
      </c>
      <c r="G131" s="43">
        <f>+DESP_JANEIRO!H130</f>
        <v>0</v>
      </c>
      <c r="H131" s="44">
        <f t="shared" si="64"/>
        <v>0</v>
      </c>
      <c r="I131" s="44">
        <f t="shared" si="65"/>
        <v>0</v>
      </c>
      <c r="J131" s="44">
        <f t="shared" si="65"/>
        <v>0</v>
      </c>
      <c r="K131" s="44">
        <f t="shared" si="65"/>
        <v>0</v>
      </c>
      <c r="L131" s="44">
        <f t="shared" si="65"/>
        <v>0</v>
      </c>
      <c r="M131" s="44">
        <f t="shared" si="65"/>
        <v>0</v>
      </c>
      <c r="N131" s="44">
        <f t="shared" si="65"/>
        <v>0</v>
      </c>
      <c r="O131" s="44">
        <f t="shared" si="65"/>
        <v>0</v>
      </c>
      <c r="P131" s="44">
        <f t="shared" si="65"/>
        <v>0</v>
      </c>
      <c r="Q131" s="44">
        <f t="shared" si="65"/>
        <v>1081</v>
      </c>
      <c r="R131" s="44">
        <f t="shared" si="65"/>
        <v>0</v>
      </c>
      <c r="S131" s="44">
        <f t="shared" si="65"/>
        <v>0</v>
      </c>
      <c r="T131" s="44">
        <f t="shared" si="65"/>
        <v>0</v>
      </c>
      <c r="U131" s="44">
        <f t="shared" si="65"/>
        <v>0</v>
      </c>
      <c r="V131" s="44">
        <f t="shared" si="65"/>
        <v>0</v>
      </c>
      <c r="W131" s="44">
        <f t="shared" si="65"/>
        <v>0</v>
      </c>
      <c r="X131" s="44">
        <f t="shared" si="66"/>
        <v>0</v>
      </c>
      <c r="Y131" s="44">
        <f t="shared" si="66"/>
        <v>0</v>
      </c>
      <c r="Z131" s="44">
        <f t="shared" si="66"/>
        <v>0</v>
      </c>
      <c r="AA131" s="44">
        <f t="shared" si="66"/>
        <v>0</v>
      </c>
      <c r="AB131" s="44">
        <f t="shared" si="66"/>
        <v>0</v>
      </c>
      <c r="AC131" s="44">
        <f t="shared" si="66"/>
        <v>0</v>
      </c>
      <c r="AD131" s="44">
        <f t="shared" si="66"/>
        <v>0</v>
      </c>
      <c r="AE131" s="44">
        <f t="shared" si="66"/>
        <v>0</v>
      </c>
      <c r="AF131" s="44">
        <f t="shared" si="66"/>
        <v>0</v>
      </c>
      <c r="AG131" s="44">
        <f t="shared" si="66"/>
        <v>0</v>
      </c>
      <c r="AH131" s="44">
        <f t="shared" si="66"/>
        <v>0</v>
      </c>
      <c r="AI131" s="44">
        <f t="shared" si="66"/>
        <v>0</v>
      </c>
      <c r="AJ131" s="44">
        <f t="shared" si="66"/>
        <v>0</v>
      </c>
      <c r="AK131" s="44">
        <f t="shared" si="66"/>
        <v>0</v>
      </c>
      <c r="AL131" s="44">
        <f t="shared" si="66"/>
        <v>0</v>
      </c>
    </row>
    <row r="132" spans="1:38" x14ac:dyDescent="0.25">
      <c r="A132" s="45" t="s">
        <v>11</v>
      </c>
      <c r="B132" s="46">
        <f>+SUM(B125:B131)</f>
        <v>28681</v>
      </c>
      <c r="C132" s="46"/>
      <c r="D132" s="46">
        <f ca="1">+SUM(D125:D131)</f>
        <v>14881</v>
      </c>
      <c r="E132" s="46">
        <f>+SUM(E125:E131)</f>
        <v>0</v>
      </c>
      <c r="F132" s="48">
        <f t="shared" ref="F132" si="67">+IF(B132=0,"-",E132/B132)</f>
        <v>0</v>
      </c>
      <c r="G132" s="21"/>
      <c r="H132" s="46">
        <f t="shared" ref="H132:AL132" si="68">+SUM(H125:H131)</f>
        <v>0</v>
      </c>
      <c r="I132" s="46">
        <f t="shared" si="68"/>
        <v>0</v>
      </c>
      <c r="J132" s="46">
        <f t="shared" si="68"/>
        <v>0</v>
      </c>
      <c r="K132" s="46">
        <f t="shared" si="68"/>
        <v>0</v>
      </c>
      <c r="L132" s="46">
        <f t="shared" si="68"/>
        <v>6900</v>
      </c>
      <c r="M132" s="46">
        <f t="shared" si="68"/>
        <v>0</v>
      </c>
      <c r="N132" s="46">
        <f t="shared" si="68"/>
        <v>0</v>
      </c>
      <c r="O132" s="46">
        <f t="shared" si="68"/>
        <v>0</v>
      </c>
      <c r="P132" s="46">
        <f t="shared" si="68"/>
        <v>0</v>
      </c>
      <c r="Q132" s="46">
        <f t="shared" si="68"/>
        <v>1081</v>
      </c>
      <c r="R132" s="46">
        <f t="shared" si="68"/>
        <v>0</v>
      </c>
      <c r="S132" s="46">
        <f t="shared" si="68"/>
        <v>6900</v>
      </c>
      <c r="T132" s="46">
        <f t="shared" si="68"/>
        <v>0</v>
      </c>
      <c r="U132" s="46">
        <f t="shared" si="68"/>
        <v>0</v>
      </c>
      <c r="V132" s="46">
        <f t="shared" si="68"/>
        <v>0</v>
      </c>
      <c r="W132" s="46">
        <f t="shared" si="68"/>
        <v>0</v>
      </c>
      <c r="X132" s="46">
        <f t="shared" si="68"/>
        <v>0</v>
      </c>
      <c r="Y132" s="46">
        <f t="shared" si="68"/>
        <v>0</v>
      </c>
      <c r="Z132" s="46">
        <f t="shared" si="68"/>
        <v>6900</v>
      </c>
      <c r="AA132" s="46">
        <f t="shared" si="68"/>
        <v>0</v>
      </c>
      <c r="AB132" s="46">
        <f t="shared" si="68"/>
        <v>0</v>
      </c>
      <c r="AC132" s="46">
        <f t="shared" si="68"/>
        <v>0</v>
      </c>
      <c r="AD132" s="46">
        <f t="shared" si="68"/>
        <v>0</v>
      </c>
      <c r="AE132" s="46">
        <f t="shared" si="68"/>
        <v>0</v>
      </c>
      <c r="AF132" s="46">
        <f t="shared" si="68"/>
        <v>0</v>
      </c>
      <c r="AG132" s="46">
        <f t="shared" si="68"/>
        <v>6900</v>
      </c>
      <c r="AH132" s="46">
        <f t="shared" si="68"/>
        <v>0</v>
      </c>
      <c r="AI132" s="46">
        <f t="shared" si="68"/>
        <v>0</v>
      </c>
      <c r="AJ132" s="46">
        <f t="shared" si="68"/>
        <v>0</v>
      </c>
      <c r="AK132" s="46">
        <f t="shared" si="68"/>
        <v>0</v>
      </c>
      <c r="AL132" s="46">
        <f t="shared" si="68"/>
        <v>0</v>
      </c>
    </row>
    <row r="133" spans="1:38" x14ac:dyDescent="0.25">
      <c r="A133" s="37"/>
      <c r="B133" s="55"/>
      <c r="C133" s="55"/>
      <c r="D133" s="55"/>
      <c r="E133" s="52"/>
      <c r="F133" s="54"/>
      <c r="G133" s="35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</row>
    <row r="134" spans="1:38" x14ac:dyDescent="0.25">
      <c r="A134" s="282">
        <f t="shared" ref="A134:A138" si="69">+SUM(H134:AL134)-B134</f>
        <v>0</v>
      </c>
      <c r="B134" s="39">
        <f>+DESP_JANEIRO!B133</f>
        <v>3237.6</v>
      </c>
      <c r="C134" s="39">
        <f>+DESP_JANEIRO!C133</f>
        <v>30</v>
      </c>
      <c r="D134" s="40">
        <f ca="1">+DESP_JANEIRO!F133</f>
        <v>0</v>
      </c>
      <c r="E134" s="56">
        <f>+DESP_JANEIRO!D133</f>
        <v>0</v>
      </c>
      <c r="F134" s="57">
        <f>+DESP_JANEIRO!G133</f>
        <v>0</v>
      </c>
      <c r="G134" s="43">
        <f>+DESP_JANEIRO!H133</f>
        <v>0</v>
      </c>
      <c r="H134" s="44">
        <f t="shared" ref="H134:H138" si="70">+IF(H$3&gt;$D$2,0,IF(OR(C134=-1,C134=H$3),$B134,0))</f>
        <v>0</v>
      </c>
      <c r="I134" s="44">
        <f t="shared" ref="I134:W138" si="71">+IF(I$3&gt;$D$2,0,IF($C134=I$3,$B134,0))</f>
        <v>0</v>
      </c>
      <c r="J134" s="44">
        <f t="shared" si="71"/>
        <v>0</v>
      </c>
      <c r="K134" s="44">
        <f t="shared" si="71"/>
        <v>0</v>
      </c>
      <c r="L134" s="44">
        <f t="shared" si="71"/>
        <v>0</v>
      </c>
      <c r="M134" s="44">
        <f t="shared" si="71"/>
        <v>0</v>
      </c>
      <c r="N134" s="44">
        <f t="shared" si="71"/>
        <v>0</v>
      </c>
      <c r="O134" s="44">
        <f t="shared" si="71"/>
        <v>0</v>
      </c>
      <c r="P134" s="44">
        <f t="shared" si="71"/>
        <v>0</v>
      </c>
      <c r="Q134" s="44">
        <f t="shared" si="71"/>
        <v>0</v>
      </c>
      <c r="R134" s="44">
        <f t="shared" si="71"/>
        <v>0</v>
      </c>
      <c r="S134" s="44">
        <f t="shared" si="71"/>
        <v>0</v>
      </c>
      <c r="T134" s="44">
        <f t="shared" si="71"/>
        <v>0</v>
      </c>
      <c r="U134" s="44">
        <f t="shared" si="71"/>
        <v>0</v>
      </c>
      <c r="V134" s="44">
        <f t="shared" si="71"/>
        <v>0</v>
      </c>
      <c r="W134" s="44">
        <f t="shared" si="71"/>
        <v>0</v>
      </c>
      <c r="X134" s="44">
        <f t="shared" ref="X134:AL138" si="72">+IF(X$3&gt;$D$2,0,IF($C134=X$3,$B134,0))</f>
        <v>0</v>
      </c>
      <c r="Y134" s="44">
        <f t="shared" si="72"/>
        <v>0</v>
      </c>
      <c r="Z134" s="44">
        <f t="shared" si="72"/>
        <v>0</v>
      </c>
      <c r="AA134" s="44">
        <f t="shared" si="72"/>
        <v>0</v>
      </c>
      <c r="AB134" s="44">
        <f t="shared" si="72"/>
        <v>0</v>
      </c>
      <c r="AC134" s="44">
        <f t="shared" si="72"/>
        <v>0</v>
      </c>
      <c r="AD134" s="44">
        <f t="shared" si="72"/>
        <v>0</v>
      </c>
      <c r="AE134" s="44">
        <f t="shared" si="72"/>
        <v>0</v>
      </c>
      <c r="AF134" s="44">
        <f t="shared" si="72"/>
        <v>0</v>
      </c>
      <c r="AG134" s="44">
        <f t="shared" si="72"/>
        <v>0</v>
      </c>
      <c r="AH134" s="44">
        <f t="shared" si="72"/>
        <v>0</v>
      </c>
      <c r="AI134" s="44">
        <f t="shared" si="72"/>
        <v>0</v>
      </c>
      <c r="AJ134" s="44">
        <f t="shared" si="72"/>
        <v>0</v>
      </c>
      <c r="AK134" s="44">
        <f t="shared" si="72"/>
        <v>3237.6</v>
      </c>
      <c r="AL134" s="44">
        <f t="shared" si="72"/>
        <v>0</v>
      </c>
    </row>
    <row r="135" spans="1:38" x14ac:dyDescent="0.25">
      <c r="A135" s="282">
        <f t="shared" si="69"/>
        <v>0</v>
      </c>
      <c r="B135" s="39">
        <f>+DESP_JANEIRO!B134</f>
        <v>1286.3499999999999</v>
      </c>
      <c r="C135" s="39">
        <f>+DESP_JANEIRO!C134</f>
        <v>30</v>
      </c>
      <c r="D135" s="40">
        <f ca="1">+DESP_JANEIRO!F134</f>
        <v>0</v>
      </c>
      <c r="E135" s="56">
        <f>+DESP_JANEIRO!D134</f>
        <v>0</v>
      </c>
      <c r="F135" s="57">
        <f>+DESP_JANEIRO!G134</f>
        <v>0</v>
      </c>
      <c r="G135" s="43">
        <f>+DESP_JANEIRO!H134</f>
        <v>0</v>
      </c>
      <c r="H135" s="44">
        <f t="shared" si="70"/>
        <v>0</v>
      </c>
      <c r="I135" s="44">
        <f t="shared" si="71"/>
        <v>0</v>
      </c>
      <c r="J135" s="44">
        <f t="shared" si="71"/>
        <v>0</v>
      </c>
      <c r="K135" s="44">
        <f t="shared" si="71"/>
        <v>0</v>
      </c>
      <c r="L135" s="44">
        <f t="shared" si="71"/>
        <v>0</v>
      </c>
      <c r="M135" s="44">
        <f t="shared" si="71"/>
        <v>0</v>
      </c>
      <c r="N135" s="44">
        <f t="shared" si="71"/>
        <v>0</v>
      </c>
      <c r="O135" s="44">
        <f t="shared" si="71"/>
        <v>0</v>
      </c>
      <c r="P135" s="44">
        <f t="shared" si="71"/>
        <v>0</v>
      </c>
      <c r="Q135" s="44">
        <f t="shared" si="71"/>
        <v>0</v>
      </c>
      <c r="R135" s="44">
        <f t="shared" si="71"/>
        <v>0</v>
      </c>
      <c r="S135" s="44">
        <f t="shared" si="71"/>
        <v>0</v>
      </c>
      <c r="T135" s="44">
        <f t="shared" si="71"/>
        <v>0</v>
      </c>
      <c r="U135" s="44">
        <f t="shared" si="71"/>
        <v>0</v>
      </c>
      <c r="V135" s="44">
        <f t="shared" si="71"/>
        <v>0</v>
      </c>
      <c r="W135" s="44">
        <f t="shared" si="71"/>
        <v>0</v>
      </c>
      <c r="X135" s="44">
        <f t="shared" si="72"/>
        <v>0</v>
      </c>
      <c r="Y135" s="44">
        <f t="shared" si="72"/>
        <v>0</v>
      </c>
      <c r="Z135" s="44">
        <f t="shared" si="72"/>
        <v>0</v>
      </c>
      <c r="AA135" s="44">
        <f t="shared" si="72"/>
        <v>0</v>
      </c>
      <c r="AB135" s="44">
        <f t="shared" si="72"/>
        <v>0</v>
      </c>
      <c r="AC135" s="44">
        <f t="shared" si="72"/>
        <v>0</v>
      </c>
      <c r="AD135" s="44">
        <f t="shared" si="72"/>
        <v>0</v>
      </c>
      <c r="AE135" s="44">
        <f t="shared" si="72"/>
        <v>0</v>
      </c>
      <c r="AF135" s="44">
        <f t="shared" si="72"/>
        <v>0</v>
      </c>
      <c r="AG135" s="44">
        <f t="shared" si="72"/>
        <v>0</v>
      </c>
      <c r="AH135" s="44">
        <f t="shared" si="72"/>
        <v>0</v>
      </c>
      <c r="AI135" s="44">
        <f t="shared" si="72"/>
        <v>0</v>
      </c>
      <c r="AJ135" s="44">
        <f t="shared" si="72"/>
        <v>0</v>
      </c>
      <c r="AK135" s="44">
        <f t="shared" si="72"/>
        <v>1286.3499999999999</v>
      </c>
      <c r="AL135" s="44">
        <f t="shared" si="72"/>
        <v>0</v>
      </c>
    </row>
    <row r="136" spans="1:38" x14ac:dyDescent="0.25">
      <c r="A136" s="282">
        <f t="shared" si="69"/>
        <v>0</v>
      </c>
      <c r="B136" s="39">
        <f>+DESP_JANEIRO!B135</f>
        <v>0</v>
      </c>
      <c r="C136" s="39">
        <f>+DESP_JANEIRO!C135</f>
        <v>0</v>
      </c>
      <c r="D136" s="40">
        <f ca="1">+DESP_JANEIRO!F135</f>
        <v>0</v>
      </c>
      <c r="E136" s="56">
        <f>+DESP_JANEIRO!D135</f>
        <v>0</v>
      </c>
      <c r="F136" s="57" t="str">
        <f>+DESP_JANEIRO!G135</f>
        <v>-</v>
      </c>
      <c r="G136" s="43">
        <f>+DESP_JANEIRO!H135</f>
        <v>0</v>
      </c>
      <c r="H136" s="44">
        <f t="shared" si="70"/>
        <v>0</v>
      </c>
      <c r="I136" s="44">
        <f t="shared" si="71"/>
        <v>0</v>
      </c>
      <c r="J136" s="44">
        <f t="shared" si="71"/>
        <v>0</v>
      </c>
      <c r="K136" s="44">
        <f t="shared" si="71"/>
        <v>0</v>
      </c>
      <c r="L136" s="44">
        <f t="shared" si="71"/>
        <v>0</v>
      </c>
      <c r="M136" s="44">
        <f t="shared" si="71"/>
        <v>0</v>
      </c>
      <c r="N136" s="44">
        <f t="shared" si="71"/>
        <v>0</v>
      </c>
      <c r="O136" s="44">
        <f t="shared" si="71"/>
        <v>0</v>
      </c>
      <c r="P136" s="44">
        <f t="shared" si="71"/>
        <v>0</v>
      </c>
      <c r="Q136" s="44">
        <f t="shared" si="71"/>
        <v>0</v>
      </c>
      <c r="R136" s="44">
        <f t="shared" si="71"/>
        <v>0</v>
      </c>
      <c r="S136" s="44">
        <f t="shared" si="71"/>
        <v>0</v>
      </c>
      <c r="T136" s="44">
        <f t="shared" si="71"/>
        <v>0</v>
      </c>
      <c r="U136" s="44">
        <f t="shared" si="71"/>
        <v>0</v>
      </c>
      <c r="V136" s="44">
        <f t="shared" si="71"/>
        <v>0</v>
      </c>
      <c r="W136" s="44">
        <f t="shared" si="71"/>
        <v>0</v>
      </c>
      <c r="X136" s="44">
        <f t="shared" si="72"/>
        <v>0</v>
      </c>
      <c r="Y136" s="44">
        <f t="shared" si="72"/>
        <v>0</v>
      </c>
      <c r="Z136" s="44">
        <f t="shared" si="72"/>
        <v>0</v>
      </c>
      <c r="AA136" s="44">
        <f t="shared" si="72"/>
        <v>0</v>
      </c>
      <c r="AB136" s="44">
        <f t="shared" si="72"/>
        <v>0</v>
      </c>
      <c r="AC136" s="44">
        <f t="shared" si="72"/>
        <v>0</v>
      </c>
      <c r="AD136" s="44">
        <f t="shared" si="72"/>
        <v>0</v>
      </c>
      <c r="AE136" s="44">
        <f t="shared" si="72"/>
        <v>0</v>
      </c>
      <c r="AF136" s="44">
        <f t="shared" si="72"/>
        <v>0</v>
      </c>
      <c r="AG136" s="44">
        <f t="shared" si="72"/>
        <v>0</v>
      </c>
      <c r="AH136" s="44">
        <f t="shared" si="72"/>
        <v>0</v>
      </c>
      <c r="AI136" s="44">
        <f t="shared" si="72"/>
        <v>0</v>
      </c>
      <c r="AJ136" s="44">
        <f t="shared" si="72"/>
        <v>0</v>
      </c>
      <c r="AK136" s="44">
        <f t="shared" si="72"/>
        <v>0</v>
      </c>
      <c r="AL136" s="44">
        <f t="shared" si="72"/>
        <v>0</v>
      </c>
    </row>
    <row r="137" spans="1:38" x14ac:dyDescent="0.25">
      <c r="A137" s="282">
        <f t="shared" si="69"/>
        <v>0</v>
      </c>
      <c r="B137" s="39">
        <f>+DESP_JANEIRO!B136</f>
        <v>0</v>
      </c>
      <c r="C137" s="39">
        <f>+DESP_JANEIRO!C136</f>
        <v>0</v>
      </c>
      <c r="D137" s="40">
        <f ca="1">+DESP_JANEIRO!F136</f>
        <v>0</v>
      </c>
      <c r="E137" s="56">
        <f>+DESP_JANEIRO!D136</f>
        <v>0</v>
      </c>
      <c r="F137" s="57" t="str">
        <f>+DESP_JANEIRO!G136</f>
        <v>-</v>
      </c>
      <c r="G137" s="43">
        <f>+DESP_JANEIRO!H136</f>
        <v>0</v>
      </c>
      <c r="H137" s="44">
        <f t="shared" si="70"/>
        <v>0</v>
      </c>
      <c r="I137" s="44">
        <f t="shared" si="71"/>
        <v>0</v>
      </c>
      <c r="J137" s="44">
        <f t="shared" si="71"/>
        <v>0</v>
      </c>
      <c r="K137" s="44">
        <f t="shared" si="71"/>
        <v>0</v>
      </c>
      <c r="L137" s="44">
        <f t="shared" si="71"/>
        <v>0</v>
      </c>
      <c r="M137" s="44">
        <f t="shared" si="71"/>
        <v>0</v>
      </c>
      <c r="N137" s="44">
        <f t="shared" si="71"/>
        <v>0</v>
      </c>
      <c r="O137" s="44">
        <f t="shared" si="71"/>
        <v>0</v>
      </c>
      <c r="P137" s="44">
        <f t="shared" si="71"/>
        <v>0</v>
      </c>
      <c r="Q137" s="44">
        <f t="shared" si="71"/>
        <v>0</v>
      </c>
      <c r="R137" s="44">
        <f t="shared" si="71"/>
        <v>0</v>
      </c>
      <c r="S137" s="44">
        <f t="shared" si="71"/>
        <v>0</v>
      </c>
      <c r="T137" s="44">
        <f t="shared" si="71"/>
        <v>0</v>
      </c>
      <c r="U137" s="44">
        <f t="shared" si="71"/>
        <v>0</v>
      </c>
      <c r="V137" s="44">
        <f t="shared" si="71"/>
        <v>0</v>
      </c>
      <c r="W137" s="44">
        <f t="shared" si="71"/>
        <v>0</v>
      </c>
      <c r="X137" s="44">
        <f t="shared" si="72"/>
        <v>0</v>
      </c>
      <c r="Y137" s="44">
        <f t="shared" si="72"/>
        <v>0</v>
      </c>
      <c r="Z137" s="44">
        <f t="shared" si="72"/>
        <v>0</v>
      </c>
      <c r="AA137" s="44">
        <f t="shared" si="72"/>
        <v>0</v>
      </c>
      <c r="AB137" s="44">
        <f t="shared" si="72"/>
        <v>0</v>
      </c>
      <c r="AC137" s="44">
        <f t="shared" si="72"/>
        <v>0</v>
      </c>
      <c r="AD137" s="44">
        <f t="shared" si="72"/>
        <v>0</v>
      </c>
      <c r="AE137" s="44">
        <f t="shared" si="72"/>
        <v>0</v>
      </c>
      <c r="AF137" s="44">
        <f t="shared" si="72"/>
        <v>0</v>
      </c>
      <c r="AG137" s="44">
        <f t="shared" si="72"/>
        <v>0</v>
      </c>
      <c r="AH137" s="44">
        <f t="shared" si="72"/>
        <v>0</v>
      </c>
      <c r="AI137" s="44">
        <f t="shared" si="72"/>
        <v>0</v>
      </c>
      <c r="AJ137" s="44">
        <f t="shared" si="72"/>
        <v>0</v>
      </c>
      <c r="AK137" s="44">
        <f t="shared" si="72"/>
        <v>0</v>
      </c>
      <c r="AL137" s="44">
        <f t="shared" si="72"/>
        <v>0</v>
      </c>
    </row>
    <row r="138" spans="1:38" x14ac:dyDescent="0.25">
      <c r="A138" s="282">
        <f t="shared" si="69"/>
        <v>0</v>
      </c>
      <c r="B138" s="39">
        <f>+DESP_JANEIRO!B137</f>
        <v>0</v>
      </c>
      <c r="C138" s="39">
        <f>+DESP_JANEIRO!C137</f>
        <v>0</v>
      </c>
      <c r="D138" s="40">
        <f ca="1">+DESP_JANEIRO!F137</f>
        <v>0</v>
      </c>
      <c r="E138" s="56">
        <f>+DESP_JANEIRO!D137</f>
        <v>0</v>
      </c>
      <c r="F138" s="57" t="str">
        <f>+DESP_JANEIRO!G137</f>
        <v>-</v>
      </c>
      <c r="G138" s="43">
        <f>+DESP_JANEIRO!H137</f>
        <v>0</v>
      </c>
      <c r="H138" s="44">
        <f t="shared" si="70"/>
        <v>0</v>
      </c>
      <c r="I138" s="44">
        <f t="shared" si="71"/>
        <v>0</v>
      </c>
      <c r="J138" s="44">
        <f t="shared" si="71"/>
        <v>0</v>
      </c>
      <c r="K138" s="44">
        <f t="shared" si="71"/>
        <v>0</v>
      </c>
      <c r="L138" s="44">
        <f t="shared" si="71"/>
        <v>0</v>
      </c>
      <c r="M138" s="44">
        <f t="shared" si="71"/>
        <v>0</v>
      </c>
      <c r="N138" s="44">
        <f t="shared" si="71"/>
        <v>0</v>
      </c>
      <c r="O138" s="44">
        <f t="shared" si="71"/>
        <v>0</v>
      </c>
      <c r="P138" s="44">
        <f t="shared" si="71"/>
        <v>0</v>
      </c>
      <c r="Q138" s="44">
        <f t="shared" si="71"/>
        <v>0</v>
      </c>
      <c r="R138" s="44">
        <f t="shared" si="71"/>
        <v>0</v>
      </c>
      <c r="S138" s="44">
        <f t="shared" si="71"/>
        <v>0</v>
      </c>
      <c r="T138" s="44">
        <f t="shared" si="71"/>
        <v>0</v>
      </c>
      <c r="U138" s="44">
        <f t="shared" si="71"/>
        <v>0</v>
      </c>
      <c r="V138" s="44">
        <f t="shared" si="71"/>
        <v>0</v>
      </c>
      <c r="W138" s="44">
        <f t="shared" si="71"/>
        <v>0</v>
      </c>
      <c r="X138" s="44">
        <f t="shared" si="72"/>
        <v>0</v>
      </c>
      <c r="Y138" s="44">
        <f t="shared" si="72"/>
        <v>0</v>
      </c>
      <c r="Z138" s="44">
        <f t="shared" si="72"/>
        <v>0</v>
      </c>
      <c r="AA138" s="44">
        <f t="shared" si="72"/>
        <v>0</v>
      </c>
      <c r="AB138" s="44">
        <f t="shared" si="72"/>
        <v>0</v>
      </c>
      <c r="AC138" s="44">
        <f t="shared" si="72"/>
        <v>0</v>
      </c>
      <c r="AD138" s="44">
        <f t="shared" si="72"/>
        <v>0</v>
      </c>
      <c r="AE138" s="44">
        <f t="shared" si="72"/>
        <v>0</v>
      </c>
      <c r="AF138" s="44">
        <f t="shared" si="72"/>
        <v>0</v>
      </c>
      <c r="AG138" s="44">
        <f t="shared" si="72"/>
        <v>0</v>
      </c>
      <c r="AH138" s="44">
        <f t="shared" si="72"/>
        <v>0</v>
      </c>
      <c r="AI138" s="44">
        <f t="shared" si="72"/>
        <v>0</v>
      </c>
      <c r="AJ138" s="44">
        <f t="shared" si="72"/>
        <v>0</v>
      </c>
      <c r="AK138" s="44">
        <f t="shared" si="72"/>
        <v>0</v>
      </c>
      <c r="AL138" s="44">
        <f t="shared" si="72"/>
        <v>0</v>
      </c>
    </row>
    <row r="139" spans="1:38" x14ac:dyDescent="0.25">
      <c r="A139" s="45" t="s">
        <v>11</v>
      </c>
      <c r="B139" s="46">
        <f>+SUM(B134:B138)</f>
        <v>4523.95</v>
      </c>
      <c r="C139" s="46"/>
      <c r="D139" s="46">
        <f ca="1">+SUM(D134:D138)</f>
        <v>0</v>
      </c>
      <c r="E139" s="46">
        <f>+SUM(E134:E138)</f>
        <v>0</v>
      </c>
      <c r="F139" s="48">
        <f t="shared" ref="F139" si="73">+IF(B139=0,"-",E139/B139)</f>
        <v>0</v>
      </c>
      <c r="G139" s="21"/>
      <c r="H139" s="46">
        <f>+SUM(H134:H138)</f>
        <v>0</v>
      </c>
      <c r="I139" s="46">
        <f t="shared" ref="I139:AL139" si="74">+SUM(I134:I138)</f>
        <v>0</v>
      </c>
      <c r="J139" s="46">
        <f t="shared" si="74"/>
        <v>0</v>
      </c>
      <c r="K139" s="46">
        <f t="shared" si="74"/>
        <v>0</v>
      </c>
      <c r="L139" s="46">
        <f t="shared" si="74"/>
        <v>0</v>
      </c>
      <c r="M139" s="46">
        <f t="shared" si="74"/>
        <v>0</v>
      </c>
      <c r="N139" s="46">
        <f t="shared" si="74"/>
        <v>0</v>
      </c>
      <c r="O139" s="46">
        <f t="shared" si="74"/>
        <v>0</v>
      </c>
      <c r="P139" s="46">
        <f t="shared" si="74"/>
        <v>0</v>
      </c>
      <c r="Q139" s="46">
        <f t="shared" si="74"/>
        <v>0</v>
      </c>
      <c r="R139" s="46">
        <f t="shared" si="74"/>
        <v>0</v>
      </c>
      <c r="S139" s="46">
        <f t="shared" si="74"/>
        <v>0</v>
      </c>
      <c r="T139" s="46">
        <f t="shared" si="74"/>
        <v>0</v>
      </c>
      <c r="U139" s="46">
        <f t="shared" si="74"/>
        <v>0</v>
      </c>
      <c r="V139" s="46">
        <f t="shared" si="74"/>
        <v>0</v>
      </c>
      <c r="W139" s="46">
        <f t="shared" si="74"/>
        <v>0</v>
      </c>
      <c r="X139" s="46">
        <f t="shared" si="74"/>
        <v>0</v>
      </c>
      <c r="Y139" s="46">
        <f t="shared" si="74"/>
        <v>0</v>
      </c>
      <c r="Z139" s="46">
        <f t="shared" si="74"/>
        <v>0</v>
      </c>
      <c r="AA139" s="46">
        <f t="shared" si="74"/>
        <v>0</v>
      </c>
      <c r="AB139" s="46">
        <f t="shared" si="74"/>
        <v>0</v>
      </c>
      <c r="AC139" s="46">
        <f t="shared" si="74"/>
        <v>0</v>
      </c>
      <c r="AD139" s="46">
        <f t="shared" si="74"/>
        <v>0</v>
      </c>
      <c r="AE139" s="46">
        <f t="shared" si="74"/>
        <v>0</v>
      </c>
      <c r="AF139" s="46">
        <f t="shared" si="74"/>
        <v>0</v>
      </c>
      <c r="AG139" s="46">
        <f t="shared" si="74"/>
        <v>0</v>
      </c>
      <c r="AH139" s="46">
        <f t="shared" si="74"/>
        <v>0</v>
      </c>
      <c r="AI139" s="46">
        <f t="shared" si="74"/>
        <v>0</v>
      </c>
      <c r="AJ139" s="46">
        <f t="shared" si="74"/>
        <v>0</v>
      </c>
      <c r="AK139" s="46">
        <f t="shared" si="74"/>
        <v>4523.95</v>
      </c>
      <c r="AL139" s="46">
        <f t="shared" si="74"/>
        <v>0</v>
      </c>
    </row>
    <row r="140" spans="1:38" x14ac:dyDescent="0.25">
      <c r="A140" s="37"/>
      <c r="B140" s="52"/>
      <c r="C140" s="51"/>
      <c r="D140" s="51"/>
      <c r="E140" s="52"/>
      <c r="F140" s="54"/>
      <c r="G140" s="35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</row>
    <row r="141" spans="1:38" x14ac:dyDescent="0.25">
      <c r="A141" s="282">
        <f t="shared" ref="A141:A153" si="75">+SUM(H141:AL141)-B141</f>
        <v>0</v>
      </c>
      <c r="B141" s="39">
        <f>+DESP_JANEIRO!B140</f>
        <v>8500</v>
      </c>
      <c r="C141" s="39">
        <f>+DESP_JANEIRO!C140</f>
        <v>-1</v>
      </c>
      <c r="D141" s="40">
        <f ca="1">+DESP_JANEIRO!F140</f>
        <v>8500</v>
      </c>
      <c r="E141" s="56">
        <f>+DESP_JANEIRO!D140</f>
        <v>0</v>
      </c>
      <c r="F141" s="57">
        <f>+DESP_JANEIRO!G140</f>
        <v>0</v>
      </c>
      <c r="G141" s="43">
        <f>+DESP_JANEIRO!H140</f>
        <v>0</v>
      </c>
      <c r="H141" s="44">
        <f t="shared" ref="H141:H153" si="76">+IF(H$3&gt;$D$2,0,IF(OR(C141=-1,C141=H$3),$B141,0))</f>
        <v>8500</v>
      </c>
      <c r="I141" s="44">
        <f t="shared" ref="I141:W153" si="77">+IF(I$3&gt;$D$2,0,IF($C141=I$3,$B141,0))</f>
        <v>0</v>
      </c>
      <c r="J141" s="44">
        <f t="shared" si="77"/>
        <v>0</v>
      </c>
      <c r="K141" s="44">
        <f t="shared" si="77"/>
        <v>0</v>
      </c>
      <c r="L141" s="44">
        <f t="shared" si="77"/>
        <v>0</v>
      </c>
      <c r="M141" s="44">
        <f t="shared" si="77"/>
        <v>0</v>
      </c>
      <c r="N141" s="44">
        <f t="shared" si="77"/>
        <v>0</v>
      </c>
      <c r="O141" s="44">
        <f t="shared" si="77"/>
        <v>0</v>
      </c>
      <c r="P141" s="44">
        <f t="shared" si="77"/>
        <v>0</v>
      </c>
      <c r="Q141" s="44">
        <f t="shared" si="77"/>
        <v>0</v>
      </c>
      <c r="R141" s="44">
        <f t="shared" si="77"/>
        <v>0</v>
      </c>
      <c r="S141" s="44">
        <f t="shared" si="77"/>
        <v>0</v>
      </c>
      <c r="T141" s="44">
        <f t="shared" si="77"/>
        <v>0</v>
      </c>
      <c r="U141" s="44">
        <f t="shared" si="77"/>
        <v>0</v>
      </c>
      <c r="V141" s="44">
        <f t="shared" si="77"/>
        <v>0</v>
      </c>
      <c r="W141" s="44">
        <f t="shared" si="77"/>
        <v>0</v>
      </c>
      <c r="X141" s="44">
        <f t="shared" ref="X141:AL153" si="78">+IF(X$3&gt;$D$2,0,IF($C141=X$3,$B141,0))</f>
        <v>0</v>
      </c>
      <c r="Y141" s="44">
        <f t="shared" si="78"/>
        <v>0</v>
      </c>
      <c r="Z141" s="44">
        <f t="shared" si="78"/>
        <v>0</v>
      </c>
      <c r="AA141" s="44">
        <f t="shared" si="78"/>
        <v>0</v>
      </c>
      <c r="AB141" s="44">
        <f t="shared" si="78"/>
        <v>0</v>
      </c>
      <c r="AC141" s="44">
        <f t="shared" si="78"/>
        <v>0</v>
      </c>
      <c r="AD141" s="44">
        <f t="shared" si="78"/>
        <v>0</v>
      </c>
      <c r="AE141" s="44">
        <f t="shared" si="78"/>
        <v>0</v>
      </c>
      <c r="AF141" s="44">
        <f t="shared" si="78"/>
        <v>0</v>
      </c>
      <c r="AG141" s="44">
        <f t="shared" si="78"/>
        <v>0</v>
      </c>
      <c r="AH141" s="44">
        <f t="shared" si="78"/>
        <v>0</v>
      </c>
      <c r="AI141" s="44">
        <f t="shared" si="78"/>
        <v>0</v>
      </c>
      <c r="AJ141" s="44">
        <f t="shared" si="78"/>
        <v>0</v>
      </c>
      <c r="AK141" s="44">
        <f t="shared" si="78"/>
        <v>0</v>
      </c>
      <c r="AL141" s="44">
        <f t="shared" si="78"/>
        <v>0</v>
      </c>
    </row>
    <row r="142" spans="1:38" x14ac:dyDescent="0.25">
      <c r="A142" s="282">
        <f t="shared" si="75"/>
        <v>0</v>
      </c>
      <c r="B142" s="39">
        <f>+DESP_JANEIRO!B141</f>
        <v>8042.83</v>
      </c>
      <c r="C142" s="39">
        <f>+DESP_JANEIRO!C141</f>
        <v>9</v>
      </c>
      <c r="D142" s="40">
        <f ca="1">+DESP_JANEIRO!F141</f>
        <v>8042.83</v>
      </c>
      <c r="E142" s="56">
        <f>+DESP_JANEIRO!D141</f>
        <v>0</v>
      </c>
      <c r="F142" s="57">
        <f>+DESP_JANEIRO!G141</f>
        <v>0</v>
      </c>
      <c r="G142" s="43">
        <f>+DESP_JANEIRO!H141</f>
        <v>0</v>
      </c>
      <c r="H142" s="44">
        <f t="shared" si="76"/>
        <v>0</v>
      </c>
      <c r="I142" s="44">
        <f t="shared" si="77"/>
        <v>0</v>
      </c>
      <c r="J142" s="44">
        <f t="shared" si="77"/>
        <v>0</v>
      </c>
      <c r="K142" s="44">
        <f t="shared" si="77"/>
        <v>0</v>
      </c>
      <c r="L142" s="44">
        <f t="shared" si="77"/>
        <v>0</v>
      </c>
      <c r="M142" s="44">
        <f t="shared" si="77"/>
        <v>0</v>
      </c>
      <c r="N142" s="44">
        <f t="shared" si="77"/>
        <v>0</v>
      </c>
      <c r="O142" s="44">
        <f t="shared" si="77"/>
        <v>0</v>
      </c>
      <c r="P142" s="44">
        <f t="shared" si="77"/>
        <v>8042.83</v>
      </c>
      <c r="Q142" s="44">
        <f t="shared" si="77"/>
        <v>0</v>
      </c>
      <c r="R142" s="44">
        <f t="shared" si="77"/>
        <v>0</v>
      </c>
      <c r="S142" s="44">
        <f t="shared" si="77"/>
        <v>0</v>
      </c>
      <c r="T142" s="44">
        <f t="shared" si="77"/>
        <v>0</v>
      </c>
      <c r="U142" s="44">
        <f t="shared" si="77"/>
        <v>0</v>
      </c>
      <c r="V142" s="44">
        <f t="shared" si="77"/>
        <v>0</v>
      </c>
      <c r="W142" s="44">
        <f t="shared" si="77"/>
        <v>0</v>
      </c>
      <c r="X142" s="44">
        <f t="shared" si="78"/>
        <v>0</v>
      </c>
      <c r="Y142" s="44">
        <f t="shared" si="78"/>
        <v>0</v>
      </c>
      <c r="Z142" s="44">
        <f t="shared" si="78"/>
        <v>0</v>
      </c>
      <c r="AA142" s="44">
        <f t="shared" si="78"/>
        <v>0</v>
      </c>
      <c r="AB142" s="44">
        <f t="shared" si="78"/>
        <v>0</v>
      </c>
      <c r="AC142" s="44">
        <f t="shared" si="78"/>
        <v>0</v>
      </c>
      <c r="AD142" s="44">
        <f t="shared" si="78"/>
        <v>0</v>
      </c>
      <c r="AE142" s="44">
        <f t="shared" si="78"/>
        <v>0</v>
      </c>
      <c r="AF142" s="44">
        <f t="shared" si="78"/>
        <v>0</v>
      </c>
      <c r="AG142" s="44">
        <f t="shared" si="78"/>
        <v>0</v>
      </c>
      <c r="AH142" s="44">
        <f t="shared" si="78"/>
        <v>0</v>
      </c>
      <c r="AI142" s="44">
        <f t="shared" si="78"/>
        <v>0</v>
      </c>
      <c r="AJ142" s="44">
        <f t="shared" si="78"/>
        <v>0</v>
      </c>
      <c r="AK142" s="44">
        <f t="shared" si="78"/>
        <v>0</v>
      </c>
      <c r="AL142" s="44">
        <f t="shared" si="78"/>
        <v>0</v>
      </c>
    </row>
    <row r="143" spans="1:38" x14ac:dyDescent="0.25">
      <c r="A143" s="282">
        <f t="shared" si="75"/>
        <v>0</v>
      </c>
      <c r="B143" s="39">
        <f>+DESP_JANEIRO!B142</f>
        <v>4377.08</v>
      </c>
      <c r="C143" s="39">
        <f>+DESP_JANEIRO!C142</f>
        <v>15</v>
      </c>
      <c r="D143" s="40">
        <f ca="1">+DESP_JANEIRO!F142</f>
        <v>0</v>
      </c>
      <c r="E143" s="56">
        <f>+DESP_JANEIRO!D142</f>
        <v>0</v>
      </c>
      <c r="F143" s="57">
        <f>+DESP_JANEIRO!G142</f>
        <v>0</v>
      </c>
      <c r="G143" s="43">
        <f>+DESP_JANEIRO!H142</f>
        <v>0</v>
      </c>
      <c r="H143" s="44">
        <f t="shared" si="76"/>
        <v>0</v>
      </c>
      <c r="I143" s="44">
        <f t="shared" si="77"/>
        <v>0</v>
      </c>
      <c r="J143" s="44">
        <f t="shared" si="77"/>
        <v>0</v>
      </c>
      <c r="K143" s="44">
        <f t="shared" si="77"/>
        <v>0</v>
      </c>
      <c r="L143" s="44">
        <f t="shared" si="77"/>
        <v>0</v>
      </c>
      <c r="M143" s="44">
        <f t="shared" si="77"/>
        <v>0</v>
      </c>
      <c r="N143" s="44">
        <f t="shared" si="77"/>
        <v>0</v>
      </c>
      <c r="O143" s="44">
        <f t="shared" si="77"/>
        <v>0</v>
      </c>
      <c r="P143" s="44">
        <f t="shared" si="77"/>
        <v>0</v>
      </c>
      <c r="Q143" s="44">
        <f t="shared" si="77"/>
        <v>0</v>
      </c>
      <c r="R143" s="44">
        <f t="shared" si="77"/>
        <v>0</v>
      </c>
      <c r="S143" s="44">
        <f t="shared" si="77"/>
        <v>0</v>
      </c>
      <c r="T143" s="44">
        <f t="shared" si="77"/>
        <v>0</v>
      </c>
      <c r="U143" s="44">
        <f t="shared" si="77"/>
        <v>0</v>
      </c>
      <c r="V143" s="44">
        <f t="shared" si="77"/>
        <v>4377.08</v>
      </c>
      <c r="W143" s="44">
        <f t="shared" si="77"/>
        <v>0</v>
      </c>
      <c r="X143" s="44">
        <f t="shared" si="78"/>
        <v>0</v>
      </c>
      <c r="Y143" s="44">
        <f t="shared" si="78"/>
        <v>0</v>
      </c>
      <c r="Z143" s="44">
        <f t="shared" si="78"/>
        <v>0</v>
      </c>
      <c r="AA143" s="44">
        <f t="shared" si="78"/>
        <v>0</v>
      </c>
      <c r="AB143" s="44">
        <f t="shared" si="78"/>
        <v>0</v>
      </c>
      <c r="AC143" s="44">
        <f t="shared" si="78"/>
        <v>0</v>
      </c>
      <c r="AD143" s="44">
        <f t="shared" si="78"/>
        <v>0</v>
      </c>
      <c r="AE143" s="44">
        <f t="shared" si="78"/>
        <v>0</v>
      </c>
      <c r="AF143" s="44">
        <f t="shared" si="78"/>
        <v>0</v>
      </c>
      <c r="AG143" s="44">
        <f t="shared" si="78"/>
        <v>0</v>
      </c>
      <c r="AH143" s="44">
        <f t="shared" si="78"/>
        <v>0</v>
      </c>
      <c r="AI143" s="44">
        <f t="shared" si="78"/>
        <v>0</v>
      </c>
      <c r="AJ143" s="44">
        <f t="shared" si="78"/>
        <v>0</v>
      </c>
      <c r="AK143" s="44">
        <f t="shared" si="78"/>
        <v>0</v>
      </c>
      <c r="AL143" s="44">
        <f t="shared" si="78"/>
        <v>0</v>
      </c>
    </row>
    <row r="144" spans="1:38" x14ac:dyDescent="0.25">
      <c r="A144" s="282">
        <f t="shared" si="75"/>
        <v>0</v>
      </c>
      <c r="B144" s="39">
        <f>+DESP_JANEIRO!B143</f>
        <v>4377.08</v>
      </c>
      <c r="C144" s="39">
        <f>+DESP_JANEIRO!C143</f>
        <v>23</v>
      </c>
      <c r="D144" s="40">
        <f ca="1">+DESP_JANEIRO!F143</f>
        <v>0</v>
      </c>
      <c r="E144" s="56">
        <f>+DESP_JANEIRO!D143</f>
        <v>0</v>
      </c>
      <c r="F144" s="57">
        <f>+DESP_JANEIRO!G143</f>
        <v>0</v>
      </c>
      <c r="G144" s="43">
        <f>+DESP_JANEIRO!H143</f>
        <v>0</v>
      </c>
      <c r="H144" s="44">
        <f t="shared" si="76"/>
        <v>0</v>
      </c>
      <c r="I144" s="44">
        <f t="shared" si="77"/>
        <v>0</v>
      </c>
      <c r="J144" s="44">
        <f t="shared" si="77"/>
        <v>0</v>
      </c>
      <c r="K144" s="44">
        <f t="shared" si="77"/>
        <v>0</v>
      </c>
      <c r="L144" s="44">
        <f t="shared" si="77"/>
        <v>0</v>
      </c>
      <c r="M144" s="44">
        <f t="shared" si="77"/>
        <v>0</v>
      </c>
      <c r="N144" s="44">
        <f t="shared" si="77"/>
        <v>0</v>
      </c>
      <c r="O144" s="44">
        <f t="shared" si="77"/>
        <v>0</v>
      </c>
      <c r="P144" s="44">
        <f t="shared" si="77"/>
        <v>0</v>
      </c>
      <c r="Q144" s="44">
        <f t="shared" si="77"/>
        <v>0</v>
      </c>
      <c r="R144" s="44">
        <f t="shared" si="77"/>
        <v>0</v>
      </c>
      <c r="S144" s="44">
        <f t="shared" si="77"/>
        <v>0</v>
      </c>
      <c r="T144" s="44">
        <f t="shared" si="77"/>
        <v>0</v>
      </c>
      <c r="U144" s="44">
        <f t="shared" si="77"/>
        <v>0</v>
      </c>
      <c r="V144" s="44">
        <f t="shared" si="77"/>
        <v>0</v>
      </c>
      <c r="W144" s="44">
        <f t="shared" si="77"/>
        <v>0</v>
      </c>
      <c r="X144" s="44">
        <f t="shared" si="78"/>
        <v>0</v>
      </c>
      <c r="Y144" s="44">
        <f t="shared" si="78"/>
        <v>0</v>
      </c>
      <c r="Z144" s="44">
        <f t="shared" si="78"/>
        <v>0</v>
      </c>
      <c r="AA144" s="44">
        <f t="shared" si="78"/>
        <v>0</v>
      </c>
      <c r="AB144" s="44">
        <f t="shared" si="78"/>
        <v>0</v>
      </c>
      <c r="AC144" s="44">
        <f t="shared" si="78"/>
        <v>0</v>
      </c>
      <c r="AD144" s="44">
        <f t="shared" si="78"/>
        <v>4377.08</v>
      </c>
      <c r="AE144" s="44">
        <f t="shared" si="78"/>
        <v>0</v>
      </c>
      <c r="AF144" s="44">
        <f t="shared" si="78"/>
        <v>0</v>
      </c>
      <c r="AG144" s="44">
        <f t="shared" si="78"/>
        <v>0</v>
      </c>
      <c r="AH144" s="44">
        <f t="shared" si="78"/>
        <v>0</v>
      </c>
      <c r="AI144" s="44">
        <f t="shared" si="78"/>
        <v>0</v>
      </c>
      <c r="AJ144" s="44">
        <f t="shared" si="78"/>
        <v>0</v>
      </c>
      <c r="AK144" s="44">
        <f t="shared" si="78"/>
        <v>0</v>
      </c>
      <c r="AL144" s="44">
        <f t="shared" si="78"/>
        <v>0</v>
      </c>
    </row>
    <row r="145" spans="1:38" x14ac:dyDescent="0.25">
      <c r="A145" s="282">
        <f t="shared" si="75"/>
        <v>0</v>
      </c>
      <c r="B145" s="39">
        <f>+DESP_JANEIRO!B144</f>
        <v>12000</v>
      </c>
      <c r="C145" s="39">
        <f>+DESP_JANEIRO!C144</f>
        <v>6</v>
      </c>
      <c r="D145" s="40">
        <f ca="1">+DESP_JANEIRO!F144</f>
        <v>12000</v>
      </c>
      <c r="E145" s="56">
        <f>+DESP_JANEIRO!D144</f>
        <v>0</v>
      </c>
      <c r="F145" s="57">
        <f>+DESP_JANEIRO!G144</f>
        <v>0</v>
      </c>
      <c r="G145" s="43">
        <f>+DESP_JANEIRO!H144</f>
        <v>0</v>
      </c>
      <c r="H145" s="44">
        <f t="shared" si="76"/>
        <v>0</v>
      </c>
      <c r="I145" s="44">
        <f t="shared" si="77"/>
        <v>0</v>
      </c>
      <c r="J145" s="44">
        <f t="shared" si="77"/>
        <v>0</v>
      </c>
      <c r="K145" s="44">
        <f t="shared" si="77"/>
        <v>0</v>
      </c>
      <c r="L145" s="44">
        <f t="shared" si="77"/>
        <v>0</v>
      </c>
      <c r="M145" s="44">
        <f t="shared" si="77"/>
        <v>12000</v>
      </c>
      <c r="N145" s="44">
        <f t="shared" si="77"/>
        <v>0</v>
      </c>
      <c r="O145" s="44">
        <f t="shared" si="77"/>
        <v>0</v>
      </c>
      <c r="P145" s="44">
        <f t="shared" si="77"/>
        <v>0</v>
      </c>
      <c r="Q145" s="44">
        <f t="shared" si="77"/>
        <v>0</v>
      </c>
      <c r="R145" s="44">
        <f t="shared" si="77"/>
        <v>0</v>
      </c>
      <c r="S145" s="44">
        <f t="shared" si="77"/>
        <v>0</v>
      </c>
      <c r="T145" s="44">
        <f t="shared" si="77"/>
        <v>0</v>
      </c>
      <c r="U145" s="44">
        <f t="shared" si="77"/>
        <v>0</v>
      </c>
      <c r="V145" s="44">
        <f t="shared" si="77"/>
        <v>0</v>
      </c>
      <c r="W145" s="44">
        <f t="shared" si="77"/>
        <v>0</v>
      </c>
      <c r="X145" s="44">
        <f t="shared" si="78"/>
        <v>0</v>
      </c>
      <c r="Y145" s="44">
        <f t="shared" si="78"/>
        <v>0</v>
      </c>
      <c r="Z145" s="44">
        <f t="shared" si="78"/>
        <v>0</v>
      </c>
      <c r="AA145" s="44">
        <f t="shared" si="78"/>
        <v>0</v>
      </c>
      <c r="AB145" s="44">
        <f t="shared" si="78"/>
        <v>0</v>
      </c>
      <c r="AC145" s="44">
        <f t="shared" si="78"/>
        <v>0</v>
      </c>
      <c r="AD145" s="44">
        <f t="shared" si="78"/>
        <v>0</v>
      </c>
      <c r="AE145" s="44">
        <f t="shared" si="78"/>
        <v>0</v>
      </c>
      <c r="AF145" s="44">
        <f t="shared" si="78"/>
        <v>0</v>
      </c>
      <c r="AG145" s="44">
        <f t="shared" si="78"/>
        <v>0</v>
      </c>
      <c r="AH145" s="44">
        <f t="shared" si="78"/>
        <v>0</v>
      </c>
      <c r="AI145" s="44">
        <f t="shared" si="78"/>
        <v>0</v>
      </c>
      <c r="AJ145" s="44">
        <f t="shared" si="78"/>
        <v>0</v>
      </c>
      <c r="AK145" s="44">
        <f t="shared" si="78"/>
        <v>0</v>
      </c>
      <c r="AL145" s="44">
        <f t="shared" si="78"/>
        <v>0</v>
      </c>
    </row>
    <row r="146" spans="1:38" x14ac:dyDescent="0.25">
      <c r="A146" s="282">
        <f t="shared" si="75"/>
        <v>0</v>
      </c>
      <c r="B146" s="39">
        <f>+DESP_JANEIRO!B145</f>
        <v>1500</v>
      </c>
      <c r="C146" s="39">
        <f>+DESP_JANEIRO!C145</f>
        <v>6</v>
      </c>
      <c r="D146" s="40">
        <f ca="1">+DESP_JANEIRO!F145</f>
        <v>1500</v>
      </c>
      <c r="E146" s="56">
        <f>+DESP_JANEIRO!D145</f>
        <v>0</v>
      </c>
      <c r="F146" s="57">
        <f>+DESP_JANEIRO!G145</f>
        <v>0</v>
      </c>
      <c r="G146" s="43">
        <f>+DESP_JANEIRO!H145</f>
        <v>0</v>
      </c>
      <c r="H146" s="44">
        <f t="shared" si="76"/>
        <v>0</v>
      </c>
      <c r="I146" s="44">
        <f t="shared" si="77"/>
        <v>0</v>
      </c>
      <c r="J146" s="44">
        <f t="shared" si="77"/>
        <v>0</v>
      </c>
      <c r="K146" s="44">
        <f t="shared" si="77"/>
        <v>0</v>
      </c>
      <c r="L146" s="44">
        <f t="shared" si="77"/>
        <v>0</v>
      </c>
      <c r="M146" s="44">
        <f t="shared" si="77"/>
        <v>1500</v>
      </c>
      <c r="N146" s="44">
        <f t="shared" si="77"/>
        <v>0</v>
      </c>
      <c r="O146" s="44">
        <f t="shared" si="77"/>
        <v>0</v>
      </c>
      <c r="P146" s="44">
        <f t="shared" si="77"/>
        <v>0</v>
      </c>
      <c r="Q146" s="44">
        <f t="shared" si="77"/>
        <v>0</v>
      </c>
      <c r="R146" s="44">
        <f t="shared" si="77"/>
        <v>0</v>
      </c>
      <c r="S146" s="44">
        <f t="shared" si="77"/>
        <v>0</v>
      </c>
      <c r="T146" s="44">
        <f t="shared" si="77"/>
        <v>0</v>
      </c>
      <c r="U146" s="44">
        <f t="shared" si="77"/>
        <v>0</v>
      </c>
      <c r="V146" s="44">
        <f t="shared" si="77"/>
        <v>0</v>
      </c>
      <c r="W146" s="44">
        <f t="shared" si="77"/>
        <v>0</v>
      </c>
      <c r="X146" s="44">
        <f t="shared" si="78"/>
        <v>0</v>
      </c>
      <c r="Y146" s="44">
        <f t="shared" si="78"/>
        <v>0</v>
      </c>
      <c r="Z146" s="44">
        <f t="shared" si="78"/>
        <v>0</v>
      </c>
      <c r="AA146" s="44">
        <f t="shared" si="78"/>
        <v>0</v>
      </c>
      <c r="AB146" s="44">
        <f t="shared" si="78"/>
        <v>0</v>
      </c>
      <c r="AC146" s="44">
        <f t="shared" si="78"/>
        <v>0</v>
      </c>
      <c r="AD146" s="44">
        <f t="shared" si="78"/>
        <v>0</v>
      </c>
      <c r="AE146" s="44">
        <f t="shared" si="78"/>
        <v>0</v>
      </c>
      <c r="AF146" s="44">
        <f t="shared" si="78"/>
        <v>0</v>
      </c>
      <c r="AG146" s="44">
        <f t="shared" si="78"/>
        <v>0</v>
      </c>
      <c r="AH146" s="44">
        <f t="shared" si="78"/>
        <v>0</v>
      </c>
      <c r="AI146" s="44">
        <f t="shared" si="78"/>
        <v>0</v>
      </c>
      <c r="AJ146" s="44">
        <f t="shared" si="78"/>
        <v>0</v>
      </c>
      <c r="AK146" s="44">
        <f t="shared" si="78"/>
        <v>0</v>
      </c>
      <c r="AL146" s="44">
        <f t="shared" si="78"/>
        <v>0</v>
      </c>
    </row>
    <row r="147" spans="1:38" x14ac:dyDescent="0.25">
      <c r="A147" s="282">
        <f t="shared" si="75"/>
        <v>0</v>
      </c>
      <c r="B147" s="39">
        <f>+DESP_JANEIRO!B146</f>
        <v>12000</v>
      </c>
      <c r="C147" s="39">
        <f>+DESP_JANEIRO!C146</f>
        <v>20</v>
      </c>
      <c r="D147" s="40">
        <f ca="1">+DESP_JANEIRO!F146</f>
        <v>0</v>
      </c>
      <c r="E147" s="56">
        <f>+DESP_JANEIRO!D146</f>
        <v>0</v>
      </c>
      <c r="F147" s="57">
        <f>+DESP_JANEIRO!G146</f>
        <v>0</v>
      </c>
      <c r="G147" s="43">
        <f>+DESP_JANEIRO!H146</f>
        <v>0</v>
      </c>
      <c r="H147" s="44">
        <f t="shared" si="76"/>
        <v>0</v>
      </c>
      <c r="I147" s="44">
        <f t="shared" si="77"/>
        <v>0</v>
      </c>
      <c r="J147" s="44">
        <f t="shared" si="77"/>
        <v>0</v>
      </c>
      <c r="K147" s="44">
        <f t="shared" si="77"/>
        <v>0</v>
      </c>
      <c r="L147" s="44">
        <f t="shared" si="77"/>
        <v>0</v>
      </c>
      <c r="M147" s="44">
        <f t="shared" si="77"/>
        <v>0</v>
      </c>
      <c r="N147" s="44">
        <f t="shared" si="77"/>
        <v>0</v>
      </c>
      <c r="O147" s="44">
        <f t="shared" si="77"/>
        <v>0</v>
      </c>
      <c r="P147" s="44">
        <f t="shared" si="77"/>
        <v>0</v>
      </c>
      <c r="Q147" s="44">
        <f t="shared" si="77"/>
        <v>0</v>
      </c>
      <c r="R147" s="44">
        <f t="shared" si="77"/>
        <v>0</v>
      </c>
      <c r="S147" s="44">
        <f t="shared" si="77"/>
        <v>0</v>
      </c>
      <c r="T147" s="44">
        <f t="shared" si="77"/>
        <v>0</v>
      </c>
      <c r="U147" s="44">
        <f t="shared" si="77"/>
        <v>0</v>
      </c>
      <c r="V147" s="44">
        <f t="shared" si="77"/>
        <v>0</v>
      </c>
      <c r="W147" s="44">
        <f t="shared" si="77"/>
        <v>0</v>
      </c>
      <c r="X147" s="44">
        <f t="shared" si="78"/>
        <v>0</v>
      </c>
      <c r="Y147" s="44">
        <f t="shared" si="78"/>
        <v>0</v>
      </c>
      <c r="Z147" s="44">
        <f t="shared" si="78"/>
        <v>0</v>
      </c>
      <c r="AA147" s="44">
        <f t="shared" si="78"/>
        <v>12000</v>
      </c>
      <c r="AB147" s="44">
        <f t="shared" si="78"/>
        <v>0</v>
      </c>
      <c r="AC147" s="44">
        <f t="shared" si="78"/>
        <v>0</v>
      </c>
      <c r="AD147" s="44">
        <f t="shared" si="78"/>
        <v>0</v>
      </c>
      <c r="AE147" s="44">
        <f t="shared" si="78"/>
        <v>0</v>
      </c>
      <c r="AF147" s="44">
        <f t="shared" si="78"/>
        <v>0</v>
      </c>
      <c r="AG147" s="44">
        <f t="shared" si="78"/>
        <v>0</v>
      </c>
      <c r="AH147" s="44">
        <f t="shared" si="78"/>
        <v>0</v>
      </c>
      <c r="AI147" s="44">
        <f t="shared" si="78"/>
        <v>0</v>
      </c>
      <c r="AJ147" s="44">
        <f t="shared" si="78"/>
        <v>0</v>
      </c>
      <c r="AK147" s="44">
        <f t="shared" si="78"/>
        <v>0</v>
      </c>
      <c r="AL147" s="44">
        <f t="shared" si="78"/>
        <v>0</v>
      </c>
    </row>
    <row r="148" spans="1:38" x14ac:dyDescent="0.25">
      <c r="A148" s="282">
        <f t="shared" si="75"/>
        <v>0</v>
      </c>
      <c r="B148" s="39">
        <f>+DESP_JANEIRO!B147</f>
        <v>1500</v>
      </c>
      <c r="C148" s="39">
        <f>+DESP_JANEIRO!C147</f>
        <v>20</v>
      </c>
      <c r="D148" s="40">
        <f ca="1">+DESP_JANEIRO!F147</f>
        <v>0</v>
      </c>
      <c r="E148" s="56">
        <f>+DESP_JANEIRO!D147</f>
        <v>0</v>
      </c>
      <c r="F148" s="57">
        <f>+DESP_JANEIRO!G147</f>
        <v>0</v>
      </c>
      <c r="G148" s="43">
        <f>+DESP_JANEIRO!H147</f>
        <v>0</v>
      </c>
      <c r="H148" s="44">
        <f t="shared" si="76"/>
        <v>0</v>
      </c>
      <c r="I148" s="44">
        <f t="shared" si="77"/>
        <v>0</v>
      </c>
      <c r="J148" s="44">
        <f t="shared" si="77"/>
        <v>0</v>
      </c>
      <c r="K148" s="44">
        <f t="shared" si="77"/>
        <v>0</v>
      </c>
      <c r="L148" s="44">
        <f t="shared" si="77"/>
        <v>0</v>
      </c>
      <c r="M148" s="44">
        <f t="shared" si="77"/>
        <v>0</v>
      </c>
      <c r="N148" s="44">
        <f t="shared" si="77"/>
        <v>0</v>
      </c>
      <c r="O148" s="44">
        <f t="shared" si="77"/>
        <v>0</v>
      </c>
      <c r="P148" s="44">
        <f t="shared" si="77"/>
        <v>0</v>
      </c>
      <c r="Q148" s="44">
        <f t="shared" si="77"/>
        <v>0</v>
      </c>
      <c r="R148" s="44">
        <f t="shared" si="77"/>
        <v>0</v>
      </c>
      <c r="S148" s="44">
        <f t="shared" si="77"/>
        <v>0</v>
      </c>
      <c r="T148" s="44">
        <f t="shared" si="77"/>
        <v>0</v>
      </c>
      <c r="U148" s="44">
        <f t="shared" si="77"/>
        <v>0</v>
      </c>
      <c r="V148" s="44">
        <f t="shared" si="77"/>
        <v>0</v>
      </c>
      <c r="W148" s="44">
        <f t="shared" si="77"/>
        <v>0</v>
      </c>
      <c r="X148" s="44">
        <f t="shared" si="78"/>
        <v>0</v>
      </c>
      <c r="Y148" s="44">
        <f t="shared" si="78"/>
        <v>0</v>
      </c>
      <c r="Z148" s="44">
        <f t="shared" si="78"/>
        <v>0</v>
      </c>
      <c r="AA148" s="44">
        <f t="shared" si="78"/>
        <v>1500</v>
      </c>
      <c r="AB148" s="44">
        <f t="shared" si="78"/>
        <v>0</v>
      </c>
      <c r="AC148" s="44">
        <f t="shared" si="78"/>
        <v>0</v>
      </c>
      <c r="AD148" s="44">
        <f t="shared" si="78"/>
        <v>0</v>
      </c>
      <c r="AE148" s="44">
        <f t="shared" si="78"/>
        <v>0</v>
      </c>
      <c r="AF148" s="44">
        <f t="shared" si="78"/>
        <v>0</v>
      </c>
      <c r="AG148" s="44">
        <f t="shared" si="78"/>
        <v>0</v>
      </c>
      <c r="AH148" s="44">
        <f t="shared" si="78"/>
        <v>0</v>
      </c>
      <c r="AI148" s="44">
        <f t="shared" si="78"/>
        <v>0</v>
      </c>
      <c r="AJ148" s="44">
        <f t="shared" si="78"/>
        <v>0</v>
      </c>
      <c r="AK148" s="44">
        <f t="shared" si="78"/>
        <v>0</v>
      </c>
      <c r="AL148" s="44">
        <f t="shared" si="78"/>
        <v>0</v>
      </c>
    </row>
    <row r="149" spans="1:38" x14ac:dyDescent="0.25">
      <c r="A149" s="282">
        <f t="shared" si="75"/>
        <v>0</v>
      </c>
      <c r="B149" s="39">
        <f>+DESP_JANEIRO!B148</f>
        <v>596.70000000000005</v>
      </c>
      <c r="C149" s="39">
        <f>+DESP_JANEIRO!C148</f>
        <v>13</v>
      </c>
      <c r="D149" s="40">
        <f ca="1">+DESP_JANEIRO!F148</f>
        <v>0</v>
      </c>
      <c r="E149" s="56">
        <f>+DESP_JANEIRO!D148</f>
        <v>0</v>
      </c>
      <c r="F149" s="57">
        <f>+DESP_JANEIRO!G148</f>
        <v>0</v>
      </c>
      <c r="G149" s="43">
        <f>+DESP_JANEIRO!H148</f>
        <v>0</v>
      </c>
      <c r="H149" s="44">
        <f t="shared" si="76"/>
        <v>0</v>
      </c>
      <c r="I149" s="44">
        <f t="shared" si="77"/>
        <v>0</v>
      </c>
      <c r="J149" s="44">
        <f t="shared" si="77"/>
        <v>0</v>
      </c>
      <c r="K149" s="44">
        <f t="shared" si="77"/>
        <v>0</v>
      </c>
      <c r="L149" s="44">
        <f t="shared" si="77"/>
        <v>0</v>
      </c>
      <c r="M149" s="44">
        <f t="shared" si="77"/>
        <v>0</v>
      </c>
      <c r="N149" s="44">
        <f t="shared" si="77"/>
        <v>0</v>
      </c>
      <c r="O149" s="44">
        <f t="shared" si="77"/>
        <v>0</v>
      </c>
      <c r="P149" s="44">
        <f t="shared" si="77"/>
        <v>0</v>
      </c>
      <c r="Q149" s="44">
        <f t="shared" si="77"/>
        <v>0</v>
      </c>
      <c r="R149" s="44">
        <f t="shared" si="77"/>
        <v>0</v>
      </c>
      <c r="S149" s="44">
        <f t="shared" si="77"/>
        <v>0</v>
      </c>
      <c r="T149" s="44">
        <f t="shared" si="77"/>
        <v>596.70000000000005</v>
      </c>
      <c r="U149" s="44">
        <f t="shared" si="77"/>
        <v>0</v>
      </c>
      <c r="V149" s="44">
        <f t="shared" si="77"/>
        <v>0</v>
      </c>
      <c r="W149" s="44">
        <f t="shared" si="77"/>
        <v>0</v>
      </c>
      <c r="X149" s="44">
        <f t="shared" si="78"/>
        <v>0</v>
      </c>
      <c r="Y149" s="44">
        <f t="shared" si="78"/>
        <v>0</v>
      </c>
      <c r="Z149" s="44">
        <f t="shared" si="78"/>
        <v>0</v>
      </c>
      <c r="AA149" s="44">
        <f t="shared" si="78"/>
        <v>0</v>
      </c>
      <c r="AB149" s="44">
        <f t="shared" si="78"/>
        <v>0</v>
      </c>
      <c r="AC149" s="44">
        <f t="shared" si="78"/>
        <v>0</v>
      </c>
      <c r="AD149" s="44">
        <f t="shared" si="78"/>
        <v>0</v>
      </c>
      <c r="AE149" s="44">
        <f t="shared" si="78"/>
        <v>0</v>
      </c>
      <c r="AF149" s="44">
        <f t="shared" si="78"/>
        <v>0</v>
      </c>
      <c r="AG149" s="44">
        <f t="shared" si="78"/>
        <v>0</v>
      </c>
      <c r="AH149" s="44">
        <f t="shared" si="78"/>
        <v>0</v>
      </c>
      <c r="AI149" s="44">
        <f t="shared" si="78"/>
        <v>0</v>
      </c>
      <c r="AJ149" s="44">
        <f t="shared" si="78"/>
        <v>0</v>
      </c>
      <c r="AK149" s="44">
        <f t="shared" si="78"/>
        <v>0</v>
      </c>
      <c r="AL149" s="44">
        <f t="shared" si="78"/>
        <v>0</v>
      </c>
    </row>
    <row r="150" spans="1:38" x14ac:dyDescent="0.25">
      <c r="A150" s="282">
        <f t="shared" si="75"/>
        <v>0</v>
      </c>
      <c r="B150" s="39">
        <f>+DESP_JANEIRO!B149</f>
        <v>445.71</v>
      </c>
      <c r="C150" s="39">
        <f>+DESP_JANEIRO!C149</f>
        <v>-1</v>
      </c>
      <c r="D150" s="40">
        <f ca="1">+DESP_JANEIRO!F149</f>
        <v>445.71</v>
      </c>
      <c r="E150" s="56">
        <f>+DESP_JANEIRO!D149</f>
        <v>0</v>
      </c>
      <c r="F150" s="57">
        <f>+DESP_JANEIRO!G149</f>
        <v>0</v>
      </c>
      <c r="G150" s="43">
        <f>+DESP_JANEIRO!H149</f>
        <v>0</v>
      </c>
      <c r="H150" s="44">
        <f t="shared" si="76"/>
        <v>445.71</v>
      </c>
      <c r="I150" s="44">
        <f t="shared" si="77"/>
        <v>0</v>
      </c>
      <c r="J150" s="44">
        <f t="shared" si="77"/>
        <v>0</v>
      </c>
      <c r="K150" s="44">
        <f t="shared" si="77"/>
        <v>0</v>
      </c>
      <c r="L150" s="44">
        <f t="shared" si="77"/>
        <v>0</v>
      </c>
      <c r="M150" s="44">
        <f t="shared" si="77"/>
        <v>0</v>
      </c>
      <c r="N150" s="44">
        <f t="shared" si="77"/>
        <v>0</v>
      </c>
      <c r="O150" s="44">
        <f t="shared" si="77"/>
        <v>0</v>
      </c>
      <c r="P150" s="44">
        <f t="shared" si="77"/>
        <v>0</v>
      </c>
      <c r="Q150" s="44">
        <f t="shared" si="77"/>
        <v>0</v>
      </c>
      <c r="R150" s="44">
        <f t="shared" si="77"/>
        <v>0</v>
      </c>
      <c r="S150" s="44">
        <f t="shared" si="77"/>
        <v>0</v>
      </c>
      <c r="T150" s="44">
        <f t="shared" si="77"/>
        <v>0</v>
      </c>
      <c r="U150" s="44">
        <f t="shared" si="77"/>
        <v>0</v>
      </c>
      <c r="V150" s="44">
        <f t="shared" si="77"/>
        <v>0</v>
      </c>
      <c r="W150" s="44">
        <f t="shared" si="77"/>
        <v>0</v>
      </c>
      <c r="X150" s="44">
        <f t="shared" si="78"/>
        <v>0</v>
      </c>
      <c r="Y150" s="44">
        <f t="shared" si="78"/>
        <v>0</v>
      </c>
      <c r="Z150" s="44">
        <f t="shared" si="78"/>
        <v>0</v>
      </c>
      <c r="AA150" s="44">
        <f t="shared" si="78"/>
        <v>0</v>
      </c>
      <c r="AB150" s="44">
        <f t="shared" si="78"/>
        <v>0</v>
      </c>
      <c r="AC150" s="44">
        <f t="shared" si="78"/>
        <v>0</v>
      </c>
      <c r="AD150" s="44">
        <f t="shared" si="78"/>
        <v>0</v>
      </c>
      <c r="AE150" s="44">
        <f t="shared" si="78"/>
        <v>0</v>
      </c>
      <c r="AF150" s="44">
        <f t="shared" si="78"/>
        <v>0</v>
      </c>
      <c r="AG150" s="44">
        <f t="shared" si="78"/>
        <v>0</v>
      </c>
      <c r="AH150" s="44">
        <f t="shared" si="78"/>
        <v>0</v>
      </c>
      <c r="AI150" s="44">
        <f t="shared" si="78"/>
        <v>0</v>
      </c>
      <c r="AJ150" s="44">
        <f t="shared" si="78"/>
        <v>0</v>
      </c>
      <c r="AK150" s="44">
        <f t="shared" si="78"/>
        <v>0</v>
      </c>
      <c r="AL150" s="44">
        <f t="shared" si="78"/>
        <v>0</v>
      </c>
    </row>
    <row r="151" spans="1:38" x14ac:dyDescent="0.25">
      <c r="A151" s="282">
        <f t="shared" si="75"/>
        <v>0</v>
      </c>
      <c r="B151" s="39">
        <f>+DESP_JANEIRO!B150</f>
        <v>1889.57</v>
      </c>
      <c r="C151" s="39">
        <f>+DESP_JANEIRO!C150</f>
        <v>25</v>
      </c>
      <c r="D151" s="40">
        <f ca="1">+DESP_JANEIRO!F150</f>
        <v>0</v>
      </c>
      <c r="E151" s="56">
        <f>+DESP_JANEIRO!D150</f>
        <v>0</v>
      </c>
      <c r="F151" s="57">
        <f>+DESP_JANEIRO!G150</f>
        <v>0</v>
      </c>
      <c r="G151" s="43">
        <f>+DESP_JANEIRO!H150</f>
        <v>0</v>
      </c>
      <c r="H151" s="44">
        <f t="shared" si="76"/>
        <v>0</v>
      </c>
      <c r="I151" s="44">
        <f t="shared" si="77"/>
        <v>0</v>
      </c>
      <c r="J151" s="44">
        <f t="shared" si="77"/>
        <v>0</v>
      </c>
      <c r="K151" s="44">
        <f t="shared" si="77"/>
        <v>0</v>
      </c>
      <c r="L151" s="44">
        <f t="shared" si="77"/>
        <v>0</v>
      </c>
      <c r="M151" s="44">
        <f t="shared" si="77"/>
        <v>0</v>
      </c>
      <c r="N151" s="44">
        <f t="shared" si="77"/>
        <v>0</v>
      </c>
      <c r="O151" s="44">
        <f t="shared" si="77"/>
        <v>0</v>
      </c>
      <c r="P151" s="44">
        <f t="shared" si="77"/>
        <v>0</v>
      </c>
      <c r="Q151" s="44">
        <f t="shared" si="77"/>
        <v>0</v>
      </c>
      <c r="R151" s="44">
        <f t="shared" si="77"/>
        <v>0</v>
      </c>
      <c r="S151" s="44">
        <f t="shared" si="77"/>
        <v>0</v>
      </c>
      <c r="T151" s="44">
        <f t="shared" si="77"/>
        <v>0</v>
      </c>
      <c r="U151" s="44">
        <f t="shared" si="77"/>
        <v>0</v>
      </c>
      <c r="V151" s="44">
        <f t="shared" si="77"/>
        <v>0</v>
      </c>
      <c r="W151" s="44">
        <f t="shared" si="77"/>
        <v>0</v>
      </c>
      <c r="X151" s="44">
        <f t="shared" si="78"/>
        <v>0</v>
      </c>
      <c r="Y151" s="44">
        <f t="shared" si="78"/>
        <v>0</v>
      </c>
      <c r="Z151" s="44">
        <f t="shared" si="78"/>
        <v>0</v>
      </c>
      <c r="AA151" s="44">
        <f t="shared" si="78"/>
        <v>0</v>
      </c>
      <c r="AB151" s="44">
        <f t="shared" si="78"/>
        <v>0</v>
      </c>
      <c r="AC151" s="44">
        <f t="shared" si="78"/>
        <v>0</v>
      </c>
      <c r="AD151" s="44">
        <f t="shared" si="78"/>
        <v>0</v>
      </c>
      <c r="AE151" s="44">
        <f t="shared" si="78"/>
        <v>0</v>
      </c>
      <c r="AF151" s="44">
        <f t="shared" si="78"/>
        <v>1889.57</v>
      </c>
      <c r="AG151" s="44">
        <f t="shared" si="78"/>
        <v>0</v>
      </c>
      <c r="AH151" s="44">
        <f t="shared" si="78"/>
        <v>0</v>
      </c>
      <c r="AI151" s="44">
        <f t="shared" si="78"/>
        <v>0</v>
      </c>
      <c r="AJ151" s="44">
        <f t="shared" si="78"/>
        <v>0</v>
      </c>
      <c r="AK151" s="44">
        <f t="shared" si="78"/>
        <v>0</v>
      </c>
      <c r="AL151" s="44">
        <f t="shared" si="78"/>
        <v>0</v>
      </c>
    </row>
    <row r="152" spans="1:38" x14ac:dyDescent="0.25">
      <c r="A152" s="282">
        <f t="shared" si="75"/>
        <v>0</v>
      </c>
      <c r="B152" s="39">
        <f>+DESP_JANEIRO!B151</f>
        <v>3624</v>
      </c>
      <c r="C152" s="39">
        <f>+DESP_JANEIRO!C151</f>
        <v>11</v>
      </c>
      <c r="D152" s="40">
        <f ca="1">+DESP_JANEIRO!F151</f>
        <v>3624</v>
      </c>
      <c r="E152" s="56">
        <f>+DESP_JANEIRO!D151</f>
        <v>0</v>
      </c>
      <c r="F152" s="57">
        <f>+DESP_JANEIRO!G151</f>
        <v>0</v>
      </c>
      <c r="G152" s="43">
        <f>+DESP_JANEIRO!H151</f>
        <v>0</v>
      </c>
      <c r="H152" s="44">
        <f t="shared" si="76"/>
        <v>0</v>
      </c>
      <c r="I152" s="44">
        <f t="shared" si="77"/>
        <v>0</v>
      </c>
      <c r="J152" s="44">
        <f t="shared" si="77"/>
        <v>0</v>
      </c>
      <c r="K152" s="44">
        <f t="shared" si="77"/>
        <v>0</v>
      </c>
      <c r="L152" s="44">
        <f t="shared" si="77"/>
        <v>0</v>
      </c>
      <c r="M152" s="44">
        <f t="shared" si="77"/>
        <v>0</v>
      </c>
      <c r="N152" s="44">
        <f t="shared" si="77"/>
        <v>0</v>
      </c>
      <c r="O152" s="44">
        <f t="shared" si="77"/>
        <v>0</v>
      </c>
      <c r="P152" s="44">
        <f t="shared" si="77"/>
        <v>0</v>
      </c>
      <c r="Q152" s="44">
        <f t="shared" si="77"/>
        <v>0</v>
      </c>
      <c r="R152" s="44">
        <f t="shared" si="77"/>
        <v>3624</v>
      </c>
      <c r="S152" s="44">
        <f t="shared" si="77"/>
        <v>0</v>
      </c>
      <c r="T152" s="44">
        <f t="shared" si="77"/>
        <v>0</v>
      </c>
      <c r="U152" s="44">
        <f t="shared" si="77"/>
        <v>0</v>
      </c>
      <c r="V152" s="44">
        <f t="shared" si="77"/>
        <v>0</v>
      </c>
      <c r="W152" s="44">
        <f t="shared" si="77"/>
        <v>0</v>
      </c>
      <c r="X152" s="44">
        <f t="shared" si="78"/>
        <v>0</v>
      </c>
      <c r="Y152" s="44">
        <f t="shared" si="78"/>
        <v>0</v>
      </c>
      <c r="Z152" s="44">
        <f t="shared" si="78"/>
        <v>0</v>
      </c>
      <c r="AA152" s="44">
        <f t="shared" si="78"/>
        <v>0</v>
      </c>
      <c r="AB152" s="44">
        <f t="shared" si="78"/>
        <v>0</v>
      </c>
      <c r="AC152" s="44">
        <f t="shared" si="78"/>
        <v>0</v>
      </c>
      <c r="AD152" s="44">
        <f t="shared" si="78"/>
        <v>0</v>
      </c>
      <c r="AE152" s="44">
        <f t="shared" si="78"/>
        <v>0</v>
      </c>
      <c r="AF152" s="44">
        <f t="shared" si="78"/>
        <v>0</v>
      </c>
      <c r="AG152" s="44">
        <f t="shared" si="78"/>
        <v>0</v>
      </c>
      <c r="AH152" s="44">
        <f t="shared" si="78"/>
        <v>0</v>
      </c>
      <c r="AI152" s="44">
        <f t="shared" si="78"/>
        <v>0</v>
      </c>
      <c r="AJ152" s="44">
        <f t="shared" si="78"/>
        <v>0</v>
      </c>
      <c r="AK152" s="44">
        <f t="shared" si="78"/>
        <v>0</v>
      </c>
      <c r="AL152" s="44">
        <f t="shared" si="78"/>
        <v>0</v>
      </c>
    </row>
    <row r="153" spans="1:38" x14ac:dyDescent="0.25">
      <c r="A153" s="282">
        <f t="shared" si="75"/>
        <v>0</v>
      </c>
      <c r="B153" s="39">
        <f>+DESP_JANEIRO!B152</f>
        <v>3450</v>
      </c>
      <c r="C153" s="39">
        <f>+DESP_JANEIRO!C152</f>
        <v>15</v>
      </c>
      <c r="D153" s="40">
        <f ca="1">+DESP_JANEIRO!F152</f>
        <v>0</v>
      </c>
      <c r="E153" s="56">
        <f>+DESP_JANEIRO!D152</f>
        <v>0</v>
      </c>
      <c r="F153" s="57">
        <f>+DESP_JANEIRO!G152</f>
        <v>0</v>
      </c>
      <c r="G153" s="43">
        <f>+DESP_JANEIRO!H152</f>
        <v>0</v>
      </c>
      <c r="H153" s="44">
        <f t="shared" si="76"/>
        <v>0</v>
      </c>
      <c r="I153" s="44">
        <f t="shared" si="77"/>
        <v>0</v>
      </c>
      <c r="J153" s="44">
        <f t="shared" si="77"/>
        <v>0</v>
      </c>
      <c r="K153" s="44">
        <f t="shared" si="77"/>
        <v>0</v>
      </c>
      <c r="L153" s="44">
        <f t="shared" si="77"/>
        <v>0</v>
      </c>
      <c r="M153" s="44">
        <f t="shared" si="77"/>
        <v>0</v>
      </c>
      <c r="N153" s="44">
        <f t="shared" si="77"/>
        <v>0</v>
      </c>
      <c r="O153" s="44">
        <f t="shared" si="77"/>
        <v>0</v>
      </c>
      <c r="P153" s="44">
        <f t="shared" si="77"/>
        <v>0</v>
      </c>
      <c r="Q153" s="44">
        <f t="shared" si="77"/>
        <v>0</v>
      </c>
      <c r="R153" s="44">
        <f t="shared" si="77"/>
        <v>0</v>
      </c>
      <c r="S153" s="44">
        <f t="shared" si="77"/>
        <v>0</v>
      </c>
      <c r="T153" s="44">
        <f t="shared" si="77"/>
        <v>0</v>
      </c>
      <c r="U153" s="44">
        <f t="shared" si="77"/>
        <v>0</v>
      </c>
      <c r="V153" s="44">
        <f t="shared" si="77"/>
        <v>3450</v>
      </c>
      <c r="W153" s="44">
        <f t="shared" si="77"/>
        <v>0</v>
      </c>
      <c r="X153" s="44">
        <f t="shared" si="78"/>
        <v>0</v>
      </c>
      <c r="Y153" s="44">
        <f t="shared" si="78"/>
        <v>0</v>
      </c>
      <c r="Z153" s="44">
        <f t="shared" si="78"/>
        <v>0</v>
      </c>
      <c r="AA153" s="44">
        <f t="shared" si="78"/>
        <v>0</v>
      </c>
      <c r="AB153" s="44">
        <f t="shared" si="78"/>
        <v>0</v>
      </c>
      <c r="AC153" s="44">
        <f t="shared" si="78"/>
        <v>0</v>
      </c>
      <c r="AD153" s="44">
        <f t="shared" si="78"/>
        <v>0</v>
      </c>
      <c r="AE153" s="44">
        <f t="shared" si="78"/>
        <v>0</v>
      </c>
      <c r="AF153" s="44">
        <f t="shared" si="78"/>
        <v>0</v>
      </c>
      <c r="AG153" s="44">
        <f t="shared" si="78"/>
        <v>0</v>
      </c>
      <c r="AH153" s="44">
        <f t="shared" si="78"/>
        <v>0</v>
      </c>
      <c r="AI153" s="44">
        <f t="shared" si="78"/>
        <v>0</v>
      </c>
      <c r="AJ153" s="44">
        <f t="shared" si="78"/>
        <v>0</v>
      </c>
      <c r="AK153" s="44">
        <f t="shared" si="78"/>
        <v>0</v>
      </c>
      <c r="AL153" s="44">
        <f t="shared" si="78"/>
        <v>0</v>
      </c>
    </row>
    <row r="154" spans="1:38" x14ac:dyDescent="0.25">
      <c r="A154" s="45" t="s">
        <v>11</v>
      </c>
      <c r="B154" s="46">
        <f>+SUM(B141:B153)</f>
        <v>62302.97</v>
      </c>
      <c r="C154" s="46"/>
      <c r="D154" s="46">
        <f ca="1">+SUM(D141:D153)</f>
        <v>34112.54</v>
      </c>
      <c r="E154" s="46">
        <f>+SUM(E141:E153)</f>
        <v>0</v>
      </c>
      <c r="F154" s="48">
        <f t="shared" ref="F154:F155" si="79">+IF(B154=0,"-",E154/B154)</f>
        <v>0</v>
      </c>
      <c r="G154" s="21"/>
      <c r="H154" s="46">
        <f>+SUM(H141:H153)</f>
        <v>8945.7099999999991</v>
      </c>
      <c r="I154" s="46">
        <f>+SUM(I141:I153)</f>
        <v>0</v>
      </c>
      <c r="J154" s="46">
        <f t="shared" ref="J154:AL154" si="80">+SUM(J141:J153)</f>
        <v>0</v>
      </c>
      <c r="K154" s="46">
        <f t="shared" si="80"/>
        <v>0</v>
      </c>
      <c r="L154" s="46">
        <f t="shared" si="80"/>
        <v>0</v>
      </c>
      <c r="M154" s="46">
        <f t="shared" si="80"/>
        <v>13500</v>
      </c>
      <c r="N154" s="46">
        <f t="shared" si="80"/>
        <v>0</v>
      </c>
      <c r="O154" s="46">
        <f t="shared" si="80"/>
        <v>0</v>
      </c>
      <c r="P154" s="46">
        <f t="shared" si="80"/>
        <v>8042.83</v>
      </c>
      <c r="Q154" s="46">
        <f t="shared" si="80"/>
        <v>0</v>
      </c>
      <c r="R154" s="46">
        <f t="shared" si="80"/>
        <v>3624</v>
      </c>
      <c r="S154" s="46">
        <f t="shared" si="80"/>
        <v>0</v>
      </c>
      <c r="T154" s="46">
        <f t="shared" si="80"/>
        <v>596.70000000000005</v>
      </c>
      <c r="U154" s="46">
        <f t="shared" si="80"/>
        <v>0</v>
      </c>
      <c r="V154" s="46">
        <f t="shared" si="80"/>
        <v>7827.08</v>
      </c>
      <c r="W154" s="46">
        <f t="shared" si="80"/>
        <v>0</v>
      </c>
      <c r="X154" s="46">
        <f t="shared" si="80"/>
        <v>0</v>
      </c>
      <c r="Y154" s="46">
        <f t="shared" si="80"/>
        <v>0</v>
      </c>
      <c r="Z154" s="46">
        <f t="shared" si="80"/>
        <v>0</v>
      </c>
      <c r="AA154" s="46">
        <f t="shared" si="80"/>
        <v>13500</v>
      </c>
      <c r="AB154" s="46">
        <f t="shared" si="80"/>
        <v>0</v>
      </c>
      <c r="AC154" s="46">
        <f t="shared" si="80"/>
        <v>0</v>
      </c>
      <c r="AD154" s="46">
        <f t="shared" si="80"/>
        <v>4377.08</v>
      </c>
      <c r="AE154" s="46">
        <f t="shared" si="80"/>
        <v>0</v>
      </c>
      <c r="AF154" s="46">
        <f t="shared" si="80"/>
        <v>1889.57</v>
      </c>
      <c r="AG154" s="46">
        <f t="shared" si="80"/>
        <v>0</v>
      </c>
      <c r="AH154" s="46">
        <f t="shared" si="80"/>
        <v>0</v>
      </c>
      <c r="AI154" s="46">
        <f t="shared" si="80"/>
        <v>0</v>
      </c>
      <c r="AJ154" s="46">
        <f t="shared" si="80"/>
        <v>0</v>
      </c>
      <c r="AK154" s="46">
        <f t="shared" si="80"/>
        <v>0</v>
      </c>
      <c r="AL154" s="46">
        <f t="shared" si="80"/>
        <v>0</v>
      </c>
    </row>
    <row r="155" spans="1:38" x14ac:dyDescent="0.25">
      <c r="A155" s="45" t="s">
        <v>17</v>
      </c>
      <c r="B155" s="46">
        <f>+SUM(B6:B154)/2</f>
        <v>184507.09000000003</v>
      </c>
      <c r="C155" s="46"/>
      <c r="D155" s="46">
        <f t="shared" ref="D155:E155" ca="1" si="81">+SUM(D6:D154)/2</f>
        <v>89754.85</v>
      </c>
      <c r="E155" s="46">
        <f t="shared" si="81"/>
        <v>45933.070000000014</v>
      </c>
      <c r="F155" s="48">
        <f t="shared" si="79"/>
        <v>0.24895016229457637</v>
      </c>
      <c r="G155" s="35"/>
      <c r="H155" s="46">
        <f t="shared" ref="H155:AK155" si="82">+SUM(H6:H154)/2</f>
        <v>13199.619999999999</v>
      </c>
      <c r="I155" s="46">
        <f t="shared" si="82"/>
        <v>8150</v>
      </c>
      <c r="J155" s="46">
        <f t="shared" si="82"/>
        <v>2375.9</v>
      </c>
      <c r="K155" s="46">
        <f t="shared" si="82"/>
        <v>22.99</v>
      </c>
      <c r="L155" s="46">
        <f t="shared" si="82"/>
        <v>12381.96</v>
      </c>
      <c r="M155" s="46">
        <f t="shared" si="82"/>
        <v>15044.59</v>
      </c>
      <c r="N155" s="46">
        <f t="shared" si="82"/>
        <v>6404.41</v>
      </c>
      <c r="O155" s="46">
        <f t="shared" si="82"/>
        <v>10606.05</v>
      </c>
      <c r="P155" s="46">
        <f t="shared" si="82"/>
        <v>8974.3499999999985</v>
      </c>
      <c r="Q155" s="46">
        <f t="shared" si="82"/>
        <v>2585.62</v>
      </c>
      <c r="R155" s="46">
        <f t="shared" si="82"/>
        <v>9599.7199999999993</v>
      </c>
      <c r="S155" s="46">
        <f t="shared" si="82"/>
        <v>7059.6399999999994</v>
      </c>
      <c r="T155" s="46">
        <f t="shared" si="82"/>
        <v>2818.4399999999996</v>
      </c>
      <c r="U155" s="46">
        <f t="shared" si="82"/>
        <v>0</v>
      </c>
      <c r="V155" s="46">
        <f t="shared" si="82"/>
        <v>13306.080000000002</v>
      </c>
      <c r="W155" s="46">
        <f t="shared" si="82"/>
        <v>0</v>
      </c>
      <c r="X155" s="46">
        <f t="shared" si="82"/>
        <v>1010</v>
      </c>
      <c r="Y155" s="46">
        <f t="shared" si="82"/>
        <v>0</v>
      </c>
      <c r="Z155" s="46">
        <f t="shared" si="82"/>
        <v>6900</v>
      </c>
      <c r="AA155" s="46">
        <f t="shared" si="82"/>
        <v>14220</v>
      </c>
      <c r="AB155" s="46">
        <f t="shared" si="82"/>
        <v>0</v>
      </c>
      <c r="AC155" s="46">
        <f t="shared" si="82"/>
        <v>96.99</v>
      </c>
      <c r="AD155" s="46">
        <f t="shared" si="82"/>
        <v>4377.08</v>
      </c>
      <c r="AE155" s="46">
        <f t="shared" si="82"/>
        <v>0</v>
      </c>
      <c r="AF155" s="46">
        <f t="shared" si="82"/>
        <v>5546.16</v>
      </c>
      <c r="AG155" s="46">
        <f t="shared" si="82"/>
        <v>13010.130000000001</v>
      </c>
      <c r="AH155" s="46">
        <f t="shared" si="82"/>
        <v>524.07000000000005</v>
      </c>
      <c r="AI155" s="46">
        <f t="shared" si="82"/>
        <v>7339.85</v>
      </c>
      <c r="AJ155" s="46">
        <f t="shared" si="82"/>
        <v>0</v>
      </c>
      <c r="AK155" s="46">
        <f t="shared" si="82"/>
        <v>5463.9500000000007</v>
      </c>
      <c r="AL155" s="46">
        <f t="shared" ref="H155:AL155" si="83">+AL22+AL40+AL63+AL90+AL99+AL105+AL113+AL123+AL132+AL139+AL154</f>
        <v>0</v>
      </c>
    </row>
    <row r="156" spans="1:38" x14ac:dyDescent="0.25">
      <c r="A156" s="45" t="s">
        <v>14</v>
      </c>
      <c r="B156" s="46"/>
      <c r="C156" s="46"/>
      <c r="D156" s="46"/>
      <c r="E156" s="46"/>
      <c r="F156" s="48"/>
      <c r="G156" s="35"/>
      <c r="H156" s="46">
        <f>+H155</f>
        <v>13199.619999999999</v>
      </c>
      <c r="I156" s="46">
        <f>+I155+H156</f>
        <v>21349.62</v>
      </c>
      <c r="J156" s="46">
        <f t="shared" ref="J156:AL156" si="84">+J155+I156</f>
        <v>23725.52</v>
      </c>
      <c r="K156" s="46">
        <f t="shared" si="84"/>
        <v>23748.510000000002</v>
      </c>
      <c r="L156" s="46">
        <f t="shared" si="84"/>
        <v>36130.47</v>
      </c>
      <c r="M156" s="46">
        <f t="shared" si="84"/>
        <v>51175.06</v>
      </c>
      <c r="N156" s="46">
        <f t="shared" si="84"/>
        <v>57579.47</v>
      </c>
      <c r="O156" s="46">
        <f t="shared" si="84"/>
        <v>68185.52</v>
      </c>
      <c r="P156" s="46">
        <f t="shared" si="84"/>
        <v>77159.87</v>
      </c>
      <c r="Q156" s="46">
        <f t="shared" si="84"/>
        <v>79745.489999999991</v>
      </c>
      <c r="R156" s="46">
        <f t="shared" si="84"/>
        <v>89345.209999999992</v>
      </c>
      <c r="S156" s="46">
        <f t="shared" si="84"/>
        <v>96404.849999999991</v>
      </c>
      <c r="T156" s="46">
        <f t="shared" si="84"/>
        <v>99223.29</v>
      </c>
      <c r="U156" s="46">
        <f t="shared" si="84"/>
        <v>99223.29</v>
      </c>
      <c r="V156" s="46">
        <f t="shared" si="84"/>
        <v>112529.37</v>
      </c>
      <c r="W156" s="46">
        <f t="shared" si="84"/>
        <v>112529.37</v>
      </c>
      <c r="X156" s="46">
        <f t="shared" si="84"/>
        <v>113539.37</v>
      </c>
      <c r="Y156" s="46">
        <f t="shared" si="84"/>
        <v>113539.37</v>
      </c>
      <c r="Z156" s="46">
        <f t="shared" si="84"/>
        <v>120439.37</v>
      </c>
      <c r="AA156" s="46">
        <f t="shared" si="84"/>
        <v>134659.37</v>
      </c>
      <c r="AB156" s="46">
        <f t="shared" si="84"/>
        <v>134659.37</v>
      </c>
      <c r="AC156" s="46">
        <f t="shared" si="84"/>
        <v>134756.35999999999</v>
      </c>
      <c r="AD156" s="46">
        <f t="shared" si="84"/>
        <v>139133.43999999997</v>
      </c>
      <c r="AE156" s="46">
        <f t="shared" si="84"/>
        <v>139133.43999999997</v>
      </c>
      <c r="AF156" s="46">
        <f t="shared" si="84"/>
        <v>144679.59999999998</v>
      </c>
      <c r="AG156" s="46">
        <f t="shared" si="84"/>
        <v>157689.72999999998</v>
      </c>
      <c r="AH156" s="46">
        <f t="shared" si="84"/>
        <v>158213.79999999999</v>
      </c>
      <c r="AI156" s="46">
        <f t="shared" si="84"/>
        <v>165553.65</v>
      </c>
      <c r="AJ156" s="46">
        <f t="shared" si="84"/>
        <v>165553.65</v>
      </c>
      <c r="AK156" s="46">
        <f t="shared" si="84"/>
        <v>171017.60000000001</v>
      </c>
      <c r="AL156" s="46">
        <f t="shared" si="84"/>
        <v>171017.60000000001</v>
      </c>
    </row>
    <row r="157" spans="1:38" x14ac:dyDescent="0.25">
      <c r="A157" s="58" t="s">
        <v>4</v>
      </c>
      <c r="B157" s="59"/>
      <c r="C157" s="60"/>
      <c r="D157" s="60"/>
      <c r="E157" s="59"/>
      <c r="F157" s="61"/>
      <c r="G157" s="35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</row>
    <row r="158" spans="1:38" x14ac:dyDescent="0.25">
      <c r="A158" s="32"/>
      <c r="B158" s="41">
        <f>SUM(H158:AL158)</f>
        <v>216000</v>
      </c>
      <c r="C158" s="39">
        <f>+DESP_JANEIRO!D159</f>
        <v>9000</v>
      </c>
      <c r="D158" s="64"/>
      <c r="E158" s="41"/>
      <c r="F158" s="42">
        <f>+DESP_JANEIRO!G159</f>
        <v>0</v>
      </c>
      <c r="G158" s="43">
        <f>+DESP_JANEIRO!H159</f>
        <v>0</v>
      </c>
      <c r="H158" s="44">
        <f>+IF(H171=6,$C$158*DESP_JANEIRO!$E$158,IF(H171=7,$C$158*DESP_JANEIRO!$G$158,$C$158))</f>
        <v>9000</v>
      </c>
      <c r="I158" s="44">
        <f>+IF(I171=6,$C$158*DESP_JANEIRO!$E$158,IF(I171=7,$C$158*DESP_JANEIRO!$G$158,$C$158))</f>
        <v>9000</v>
      </c>
      <c r="J158" s="44">
        <f>+IF(J171=6,$C$158*DESP_JANEIRO!$E$158,IF(J171=7,$C$158*DESP_JANEIRO!$G$158,$C$158))</f>
        <v>3600</v>
      </c>
      <c r="K158" s="44">
        <f>+IF(K171=6,$C$158*DESP_JANEIRO!$E$158,IF(K171=7,$C$158*DESP_JANEIRO!$G$158,$C$158))</f>
        <v>0</v>
      </c>
      <c r="L158" s="44">
        <f>+IF(L171=6,$C$158*DESP_JANEIRO!$E$158,IF(L171=7,$C$158*DESP_JANEIRO!$G$158,$C$158))</f>
        <v>9000</v>
      </c>
      <c r="M158" s="44">
        <f>+IF(M171=6,$C$158*DESP_JANEIRO!$E$158,IF(M171=7,$C$158*DESP_JANEIRO!$G$158,$C$158))</f>
        <v>9000</v>
      </c>
      <c r="N158" s="44">
        <f>+IF(N171=6,$C$158*DESP_JANEIRO!$E$158,IF(N171=7,$C$158*DESP_JANEIRO!$G$158,$C$158))</f>
        <v>9000</v>
      </c>
      <c r="O158" s="44">
        <f>+IF(O171=6,$C$158*DESP_JANEIRO!$E$158,IF(O171=7,$C$158*DESP_JANEIRO!$G$158,$C$158))</f>
        <v>9000</v>
      </c>
      <c r="P158" s="44">
        <f>+IF(P171=6,$C$158*DESP_JANEIRO!$E$158,IF(P171=7,$C$158*DESP_JANEIRO!$G$158,$C$158))</f>
        <v>9000</v>
      </c>
      <c r="Q158" s="44">
        <f>+IF(Q171=6,$C$158*DESP_JANEIRO!$E$158,IF(Q171=7,$C$158*DESP_JANEIRO!$G$158,$C$158))</f>
        <v>3600</v>
      </c>
      <c r="R158" s="44">
        <f>+IF(R171=6,$C$158*DESP_JANEIRO!$E$158,IF(R171=7,$C$158*DESP_JANEIRO!$G$158,$C$158))</f>
        <v>0</v>
      </c>
      <c r="S158" s="44">
        <f>+IF(S171=6,$C$158*DESP_JANEIRO!$E$158,IF(S171=7,$C$158*DESP_JANEIRO!$G$158,$C$158))</f>
        <v>9000</v>
      </c>
      <c r="T158" s="44">
        <f>+IF(T171=6,$C$158*DESP_JANEIRO!$E$158,IF(T171=7,$C$158*DESP_JANEIRO!$G$158,$C$158))</f>
        <v>9000</v>
      </c>
      <c r="U158" s="44">
        <f>+IF(U171=6,$C$158*DESP_JANEIRO!$E$158,IF(U171=7,$C$158*DESP_JANEIRO!$G$158,$C$158))</f>
        <v>9000</v>
      </c>
      <c r="V158" s="44">
        <f>+IF(V171=6,$C$158*DESP_JANEIRO!$E$158,IF(V171=7,$C$158*DESP_JANEIRO!$G$158,$C$158))</f>
        <v>9000</v>
      </c>
      <c r="W158" s="44">
        <f>+IF(W171=6,$C$158*DESP_JANEIRO!$E$158,IF(W171=7,$C$158*DESP_JANEIRO!$G$158,$C$158))</f>
        <v>9000</v>
      </c>
      <c r="X158" s="44">
        <f>+IF(X171=6,$C$158*DESP_JANEIRO!$E$158,IF(X171=7,$C$158*DESP_JANEIRO!$G$158,$C$158))</f>
        <v>3600</v>
      </c>
      <c r="Y158" s="44">
        <f>+IF(Y171=6,$C$158*DESP_JANEIRO!$E$158,IF(Y171=7,$C$158*DESP_JANEIRO!$G$158,$C$158))</f>
        <v>0</v>
      </c>
      <c r="Z158" s="44">
        <f>+IF(Z171=6,$C$158*DESP_JANEIRO!$E$158,IF(Z171=7,$C$158*DESP_JANEIRO!$G$158,$C$158))</f>
        <v>9000</v>
      </c>
      <c r="AA158" s="44">
        <f>+IF(AA171=6,$C$158*DESP_JANEIRO!$E$158,IF(AA171=7,$C$158*DESP_JANEIRO!$G$158,$C$158))</f>
        <v>9000</v>
      </c>
      <c r="AB158" s="44">
        <f>+IF(AB171=6,$C$158*DESP_JANEIRO!$E$158,IF(AB171=7,$C$158*DESP_JANEIRO!$G$158,$C$158))</f>
        <v>9000</v>
      </c>
      <c r="AC158" s="44">
        <f>+IF(AC171=6,$C$158*DESP_JANEIRO!$E$158,IF(AC171=7,$C$158*DESP_JANEIRO!$G$158,$C$158))</f>
        <v>9000</v>
      </c>
      <c r="AD158" s="44">
        <f>+IF(AD171=6,$C$158*DESP_JANEIRO!$E$158,IF(AD171=7,$C$158*DESP_JANEIRO!$G$158,$C$158))</f>
        <v>9000</v>
      </c>
      <c r="AE158" s="44">
        <f>+IF(AE171=6,$C$158*DESP_JANEIRO!$E$158,IF(AE171=7,$C$158*DESP_JANEIRO!$G$158,$C$158))</f>
        <v>3600</v>
      </c>
      <c r="AF158" s="44">
        <f>+IF(AF171=6,$C$158*DESP_JANEIRO!$E$158,IF(AF171=7,$C$158*DESP_JANEIRO!$G$158,$C$158))</f>
        <v>0</v>
      </c>
      <c r="AG158" s="44">
        <f>+IF(AG171=6,$C$158*DESP_JANEIRO!$E$158,IF(AG171=7,$C$158*DESP_JANEIRO!$G$158,$C$158))</f>
        <v>9000</v>
      </c>
      <c r="AH158" s="44">
        <f>+IF(AH171=6,$C$158*DESP_JANEIRO!$E$158,IF(AH171=7,$C$158*DESP_JANEIRO!$G$158,$C$158))</f>
        <v>9000</v>
      </c>
      <c r="AI158" s="44">
        <f>+IF(AI171=6,$C$158*DESP_JANEIRO!$E$158,IF(AI171=7,$C$158*DESP_JANEIRO!$G$158,$C$158))</f>
        <v>9000</v>
      </c>
      <c r="AJ158" s="44">
        <f>+IF(AJ171=6,$C$158*DESP_JANEIRO!$E$158,IF(AJ171=7,$C$158*DESP_JANEIRO!$G$158,$C$158))</f>
        <v>9000</v>
      </c>
      <c r="AK158" s="44">
        <f>+IF(AK171=6,$C$158*DESP_JANEIRO!$E$158,IF(AK171=7,$C$158*DESP_JANEIRO!$G$158,$C$158))</f>
        <v>9000</v>
      </c>
      <c r="AL158" s="44">
        <f>+IF(AL171=6,$C$158*DESP_JANEIRO!$E$158,IF(AL171=7,$C$158*DESP_JANEIRO!$G$158,$C$158))</f>
        <v>3600</v>
      </c>
    </row>
    <row r="159" spans="1:38" x14ac:dyDescent="0.25">
      <c r="A159" s="32"/>
      <c r="B159" s="39">
        <f>+DESP_JANEIRO!B160</f>
        <v>5500</v>
      </c>
      <c r="C159" s="39">
        <f>+DESP_JANEIRO!C160</f>
        <v>3</v>
      </c>
      <c r="D159" s="65">
        <f ca="1">+DESP_JANEIRO!F160</f>
        <v>5500</v>
      </c>
      <c r="E159" s="41">
        <f>+DESP_JANEIRO!D160</f>
        <v>0</v>
      </c>
      <c r="F159" s="42">
        <f>+DESP_JANEIRO!G160</f>
        <v>0</v>
      </c>
      <c r="G159" s="43">
        <f>+DESP_JANEIRO!H160</f>
        <v>0</v>
      </c>
      <c r="H159" s="44">
        <f t="shared" ref="H159:L167" si="85">+IF(H$3&gt;$D$2,0,IF($C159=H$3,$B159,0))</f>
        <v>0</v>
      </c>
      <c r="I159" s="44">
        <f t="shared" si="85"/>
        <v>0</v>
      </c>
      <c r="J159" s="44">
        <f t="shared" si="85"/>
        <v>5500</v>
      </c>
      <c r="K159" s="44">
        <f t="shared" si="85"/>
        <v>0</v>
      </c>
      <c r="L159" s="44">
        <f t="shared" ref="L159:AB167" si="86">+IF(L$3&gt;$D$2,0,IF($C159=L$3,$B159,0))</f>
        <v>0</v>
      </c>
      <c r="M159" s="44">
        <f t="shared" si="86"/>
        <v>0</v>
      </c>
      <c r="N159" s="44">
        <f t="shared" si="86"/>
        <v>0</v>
      </c>
      <c r="O159" s="44">
        <f t="shared" si="86"/>
        <v>0</v>
      </c>
      <c r="P159" s="44">
        <f t="shared" si="86"/>
        <v>0</v>
      </c>
      <c r="Q159" s="44">
        <f t="shared" si="86"/>
        <v>0</v>
      </c>
      <c r="R159" s="44">
        <f t="shared" si="86"/>
        <v>0</v>
      </c>
      <c r="S159" s="44">
        <f t="shared" si="86"/>
        <v>0</v>
      </c>
      <c r="T159" s="44">
        <f t="shared" si="86"/>
        <v>0</v>
      </c>
      <c r="U159" s="44">
        <f t="shared" si="86"/>
        <v>0</v>
      </c>
      <c r="V159" s="44">
        <f t="shared" si="86"/>
        <v>0</v>
      </c>
      <c r="W159" s="44">
        <f t="shared" si="86"/>
        <v>0</v>
      </c>
      <c r="X159" s="44">
        <f t="shared" si="86"/>
        <v>0</v>
      </c>
      <c r="Y159" s="44">
        <f t="shared" si="86"/>
        <v>0</v>
      </c>
      <c r="Z159" s="44">
        <f t="shared" si="86"/>
        <v>0</v>
      </c>
      <c r="AA159" s="44">
        <f t="shared" si="86"/>
        <v>0</v>
      </c>
      <c r="AB159" s="44">
        <f t="shared" si="86"/>
        <v>0</v>
      </c>
      <c r="AC159" s="44">
        <f t="shared" ref="W159:AL167" si="87">+IF(AC$3&gt;$D$2,0,IF($C159=AC$3,$B159,0))</f>
        <v>0</v>
      </c>
      <c r="AD159" s="44">
        <f t="shared" si="87"/>
        <v>0</v>
      </c>
      <c r="AE159" s="44">
        <f t="shared" si="87"/>
        <v>0</v>
      </c>
      <c r="AF159" s="44">
        <f t="shared" si="87"/>
        <v>0</v>
      </c>
      <c r="AG159" s="44">
        <f t="shared" si="87"/>
        <v>0</v>
      </c>
      <c r="AH159" s="44">
        <f t="shared" si="87"/>
        <v>0</v>
      </c>
      <c r="AI159" s="44">
        <f t="shared" si="87"/>
        <v>0</v>
      </c>
      <c r="AJ159" s="44">
        <f t="shared" si="87"/>
        <v>0</v>
      </c>
      <c r="AK159" s="44">
        <f t="shared" si="87"/>
        <v>0</v>
      </c>
      <c r="AL159" s="44">
        <f t="shared" si="87"/>
        <v>0</v>
      </c>
    </row>
    <row r="160" spans="1:38" x14ac:dyDescent="0.25">
      <c r="A160" s="32"/>
      <c r="B160" s="39">
        <f>+DESP_JANEIRO!B161</f>
        <v>5100</v>
      </c>
      <c r="C160" s="39">
        <f>+DESP_JANEIRO!C161</f>
        <v>3</v>
      </c>
      <c r="D160" s="65">
        <f ca="1">+DESP_JANEIRO!F161</f>
        <v>5100</v>
      </c>
      <c r="E160" s="41">
        <f>+DESP_JANEIRO!D161</f>
        <v>0</v>
      </c>
      <c r="F160" s="42">
        <f>+DESP_JANEIRO!G161</f>
        <v>0</v>
      </c>
      <c r="G160" s="43">
        <f>+DESP_JANEIRO!H161</f>
        <v>0</v>
      </c>
      <c r="H160" s="44">
        <f t="shared" si="85"/>
        <v>0</v>
      </c>
      <c r="I160" s="44">
        <f t="shared" si="85"/>
        <v>0</v>
      </c>
      <c r="J160" s="44">
        <f t="shared" si="85"/>
        <v>5100</v>
      </c>
      <c r="K160" s="44">
        <f t="shared" si="85"/>
        <v>0</v>
      </c>
      <c r="L160" s="44">
        <f t="shared" si="85"/>
        <v>0</v>
      </c>
      <c r="M160" s="44">
        <f t="shared" si="86"/>
        <v>0</v>
      </c>
      <c r="N160" s="44">
        <f t="shared" si="86"/>
        <v>0</v>
      </c>
      <c r="O160" s="44">
        <f t="shared" si="86"/>
        <v>0</v>
      </c>
      <c r="P160" s="44">
        <f t="shared" si="86"/>
        <v>0</v>
      </c>
      <c r="Q160" s="44">
        <f t="shared" si="86"/>
        <v>0</v>
      </c>
      <c r="R160" s="44">
        <f t="shared" si="86"/>
        <v>0</v>
      </c>
      <c r="S160" s="44">
        <f t="shared" si="86"/>
        <v>0</v>
      </c>
      <c r="T160" s="44">
        <f t="shared" si="86"/>
        <v>0</v>
      </c>
      <c r="U160" s="44">
        <f t="shared" si="86"/>
        <v>0</v>
      </c>
      <c r="V160" s="44">
        <f t="shared" si="86"/>
        <v>0</v>
      </c>
      <c r="W160" s="44">
        <f t="shared" si="87"/>
        <v>0</v>
      </c>
      <c r="X160" s="44">
        <f t="shared" si="87"/>
        <v>0</v>
      </c>
      <c r="Y160" s="44">
        <f t="shared" si="87"/>
        <v>0</v>
      </c>
      <c r="Z160" s="44">
        <f t="shared" si="87"/>
        <v>0</v>
      </c>
      <c r="AA160" s="44">
        <f t="shared" si="87"/>
        <v>0</v>
      </c>
      <c r="AB160" s="44">
        <f t="shared" si="87"/>
        <v>0</v>
      </c>
      <c r="AC160" s="44">
        <f t="shared" si="87"/>
        <v>0</v>
      </c>
      <c r="AD160" s="44">
        <f t="shared" si="87"/>
        <v>0</v>
      </c>
      <c r="AE160" s="44">
        <f t="shared" si="87"/>
        <v>0</v>
      </c>
      <c r="AF160" s="44">
        <f t="shared" si="87"/>
        <v>0</v>
      </c>
      <c r="AG160" s="44">
        <f t="shared" si="87"/>
        <v>0</v>
      </c>
      <c r="AH160" s="44">
        <f t="shared" si="87"/>
        <v>0</v>
      </c>
      <c r="AI160" s="44">
        <f t="shared" si="87"/>
        <v>0</v>
      </c>
      <c r="AJ160" s="44">
        <f t="shared" si="87"/>
        <v>0</v>
      </c>
      <c r="AK160" s="44">
        <f t="shared" si="87"/>
        <v>0</v>
      </c>
      <c r="AL160" s="44">
        <f t="shared" si="87"/>
        <v>0</v>
      </c>
    </row>
    <row r="161" spans="1:38" x14ac:dyDescent="0.25">
      <c r="A161" s="32"/>
      <c r="B161" s="39">
        <f>+DESP_JANEIRO!B162</f>
        <v>0</v>
      </c>
      <c r="C161" s="39">
        <f>+DESP_JANEIRO!C162</f>
        <v>0</v>
      </c>
      <c r="D161" s="65">
        <f>+DESP_JANEIRO!F162</f>
        <v>0</v>
      </c>
      <c r="E161" s="41">
        <f>+DESP_JANEIRO!D162</f>
        <v>0</v>
      </c>
      <c r="F161" s="42">
        <f>+DESP_JANEIRO!G162</f>
        <v>0</v>
      </c>
      <c r="G161" s="43">
        <f>+DESP_JANEIRO!H162</f>
        <v>0</v>
      </c>
      <c r="H161" s="44">
        <f t="shared" si="85"/>
        <v>0</v>
      </c>
      <c r="I161" s="44">
        <f t="shared" si="85"/>
        <v>0</v>
      </c>
      <c r="J161" s="44">
        <f t="shared" si="85"/>
        <v>0</v>
      </c>
      <c r="K161" s="44">
        <f t="shared" si="85"/>
        <v>0</v>
      </c>
      <c r="L161" s="44">
        <f t="shared" si="85"/>
        <v>0</v>
      </c>
      <c r="M161" s="44">
        <f t="shared" si="86"/>
        <v>0</v>
      </c>
      <c r="N161" s="44">
        <f t="shared" si="86"/>
        <v>0</v>
      </c>
      <c r="O161" s="44">
        <f t="shared" si="86"/>
        <v>0</v>
      </c>
      <c r="P161" s="44">
        <f t="shared" si="86"/>
        <v>0</v>
      </c>
      <c r="Q161" s="44">
        <f t="shared" si="86"/>
        <v>0</v>
      </c>
      <c r="R161" s="44">
        <f t="shared" si="86"/>
        <v>0</v>
      </c>
      <c r="S161" s="44">
        <f t="shared" si="86"/>
        <v>0</v>
      </c>
      <c r="T161" s="44">
        <f t="shared" si="86"/>
        <v>0</v>
      </c>
      <c r="U161" s="44">
        <f t="shared" si="86"/>
        <v>0</v>
      </c>
      <c r="V161" s="44">
        <f t="shared" si="86"/>
        <v>0</v>
      </c>
      <c r="W161" s="44">
        <f t="shared" si="87"/>
        <v>0</v>
      </c>
      <c r="X161" s="44">
        <f t="shared" si="87"/>
        <v>0</v>
      </c>
      <c r="Y161" s="44">
        <f t="shared" si="87"/>
        <v>0</v>
      </c>
      <c r="Z161" s="44">
        <f t="shared" si="87"/>
        <v>0</v>
      </c>
      <c r="AA161" s="44">
        <f t="shared" si="87"/>
        <v>0</v>
      </c>
      <c r="AB161" s="44">
        <f t="shared" si="87"/>
        <v>0</v>
      </c>
      <c r="AC161" s="44">
        <f t="shared" si="87"/>
        <v>0</v>
      </c>
      <c r="AD161" s="44">
        <f t="shared" si="87"/>
        <v>0</v>
      </c>
      <c r="AE161" s="44">
        <f t="shared" si="87"/>
        <v>0</v>
      </c>
      <c r="AF161" s="44">
        <f t="shared" si="87"/>
        <v>0</v>
      </c>
      <c r="AG161" s="44">
        <f t="shared" si="87"/>
        <v>0</v>
      </c>
      <c r="AH161" s="44">
        <f t="shared" si="87"/>
        <v>0</v>
      </c>
      <c r="AI161" s="44">
        <f t="shared" si="87"/>
        <v>0</v>
      </c>
      <c r="AJ161" s="44">
        <f t="shared" si="87"/>
        <v>0</v>
      </c>
      <c r="AK161" s="44">
        <f t="shared" si="87"/>
        <v>0</v>
      </c>
      <c r="AL161" s="44">
        <f t="shared" si="87"/>
        <v>0</v>
      </c>
    </row>
    <row r="162" spans="1:38" x14ac:dyDescent="0.25">
      <c r="A162" s="32"/>
      <c r="B162" s="39">
        <f>+DESP_JANEIRO!B163</f>
        <v>0</v>
      </c>
      <c r="C162" s="39">
        <f>+DESP_JANEIRO!C163</f>
        <v>0</v>
      </c>
      <c r="D162" s="65">
        <f>+DESP_JANEIRO!F163</f>
        <v>0</v>
      </c>
      <c r="E162" s="41">
        <f>+DESP_JANEIRO!D163</f>
        <v>0</v>
      </c>
      <c r="F162" s="42">
        <f>+DESP_JANEIRO!G163</f>
        <v>0</v>
      </c>
      <c r="G162" s="43">
        <f>+DESP_JANEIRO!H163</f>
        <v>0</v>
      </c>
      <c r="H162" s="44">
        <f t="shared" si="85"/>
        <v>0</v>
      </c>
      <c r="I162" s="44">
        <f t="shared" si="85"/>
        <v>0</v>
      </c>
      <c r="J162" s="44">
        <f t="shared" si="85"/>
        <v>0</v>
      </c>
      <c r="K162" s="44">
        <f t="shared" si="85"/>
        <v>0</v>
      </c>
      <c r="L162" s="44">
        <f t="shared" si="85"/>
        <v>0</v>
      </c>
      <c r="M162" s="44">
        <f t="shared" si="86"/>
        <v>0</v>
      </c>
      <c r="N162" s="44">
        <f t="shared" si="86"/>
        <v>0</v>
      </c>
      <c r="O162" s="44">
        <f t="shared" si="86"/>
        <v>0</v>
      </c>
      <c r="P162" s="44">
        <f t="shared" si="86"/>
        <v>0</v>
      </c>
      <c r="Q162" s="44">
        <f t="shared" si="86"/>
        <v>0</v>
      </c>
      <c r="R162" s="44">
        <f t="shared" si="86"/>
        <v>0</v>
      </c>
      <c r="S162" s="44">
        <f t="shared" si="86"/>
        <v>0</v>
      </c>
      <c r="T162" s="44">
        <f t="shared" si="86"/>
        <v>0</v>
      </c>
      <c r="U162" s="44">
        <f t="shared" si="86"/>
        <v>0</v>
      </c>
      <c r="V162" s="44">
        <f t="shared" si="86"/>
        <v>0</v>
      </c>
      <c r="W162" s="44">
        <f t="shared" si="87"/>
        <v>0</v>
      </c>
      <c r="X162" s="44">
        <f t="shared" si="87"/>
        <v>0</v>
      </c>
      <c r="Y162" s="44">
        <f t="shared" si="87"/>
        <v>0</v>
      </c>
      <c r="Z162" s="44">
        <f t="shared" si="87"/>
        <v>0</v>
      </c>
      <c r="AA162" s="44">
        <f t="shared" si="87"/>
        <v>0</v>
      </c>
      <c r="AB162" s="44">
        <f t="shared" si="87"/>
        <v>0</v>
      </c>
      <c r="AC162" s="44">
        <f t="shared" si="87"/>
        <v>0</v>
      </c>
      <c r="AD162" s="44">
        <f t="shared" si="87"/>
        <v>0</v>
      </c>
      <c r="AE162" s="44">
        <f t="shared" si="87"/>
        <v>0</v>
      </c>
      <c r="AF162" s="44">
        <f t="shared" si="87"/>
        <v>0</v>
      </c>
      <c r="AG162" s="44">
        <f t="shared" si="87"/>
        <v>0</v>
      </c>
      <c r="AH162" s="44">
        <f t="shared" si="87"/>
        <v>0</v>
      </c>
      <c r="AI162" s="44">
        <f t="shared" si="87"/>
        <v>0</v>
      </c>
      <c r="AJ162" s="44">
        <f t="shared" si="87"/>
        <v>0</v>
      </c>
      <c r="AK162" s="44">
        <f t="shared" si="87"/>
        <v>0</v>
      </c>
      <c r="AL162" s="44">
        <f t="shared" si="87"/>
        <v>0</v>
      </c>
    </row>
    <row r="163" spans="1:38" x14ac:dyDescent="0.25">
      <c r="A163" s="32"/>
      <c r="B163" s="39">
        <f>+DESP_JANEIRO!B164</f>
        <v>0</v>
      </c>
      <c r="C163" s="39">
        <f>+DESP_JANEIRO!C164</f>
        <v>0</v>
      </c>
      <c r="D163" s="65">
        <f>+DESP_JANEIRO!F164</f>
        <v>0</v>
      </c>
      <c r="E163" s="41">
        <f>+DESP_JANEIRO!D164</f>
        <v>0</v>
      </c>
      <c r="F163" s="42">
        <f>+DESP_JANEIRO!G164</f>
        <v>0</v>
      </c>
      <c r="G163" s="43">
        <f>+DESP_JANEIRO!H164</f>
        <v>0</v>
      </c>
      <c r="H163" s="44">
        <f t="shared" si="85"/>
        <v>0</v>
      </c>
      <c r="I163" s="44">
        <f t="shared" si="85"/>
        <v>0</v>
      </c>
      <c r="J163" s="44">
        <f t="shared" si="85"/>
        <v>0</v>
      </c>
      <c r="K163" s="44">
        <f t="shared" si="85"/>
        <v>0</v>
      </c>
      <c r="L163" s="44">
        <f t="shared" si="85"/>
        <v>0</v>
      </c>
      <c r="M163" s="44">
        <f t="shared" si="86"/>
        <v>0</v>
      </c>
      <c r="N163" s="44">
        <f t="shared" si="86"/>
        <v>0</v>
      </c>
      <c r="O163" s="44">
        <f t="shared" si="86"/>
        <v>0</v>
      </c>
      <c r="P163" s="44">
        <f t="shared" si="86"/>
        <v>0</v>
      </c>
      <c r="Q163" s="44">
        <f t="shared" si="86"/>
        <v>0</v>
      </c>
      <c r="R163" s="44">
        <f t="shared" si="86"/>
        <v>0</v>
      </c>
      <c r="S163" s="44">
        <f t="shared" si="86"/>
        <v>0</v>
      </c>
      <c r="T163" s="44">
        <f t="shared" si="86"/>
        <v>0</v>
      </c>
      <c r="U163" s="44">
        <f t="shared" si="86"/>
        <v>0</v>
      </c>
      <c r="V163" s="44">
        <f t="shared" si="86"/>
        <v>0</v>
      </c>
      <c r="W163" s="44">
        <f t="shared" si="87"/>
        <v>0</v>
      </c>
      <c r="X163" s="44">
        <f t="shared" si="87"/>
        <v>0</v>
      </c>
      <c r="Y163" s="44">
        <f t="shared" si="87"/>
        <v>0</v>
      </c>
      <c r="Z163" s="44">
        <f t="shared" si="87"/>
        <v>0</v>
      </c>
      <c r="AA163" s="44">
        <f t="shared" si="87"/>
        <v>0</v>
      </c>
      <c r="AB163" s="44">
        <f t="shared" si="87"/>
        <v>0</v>
      </c>
      <c r="AC163" s="44">
        <f t="shared" si="87"/>
        <v>0</v>
      </c>
      <c r="AD163" s="44">
        <f t="shared" si="87"/>
        <v>0</v>
      </c>
      <c r="AE163" s="44">
        <f t="shared" si="87"/>
        <v>0</v>
      </c>
      <c r="AF163" s="44">
        <f t="shared" si="87"/>
        <v>0</v>
      </c>
      <c r="AG163" s="44">
        <f t="shared" si="87"/>
        <v>0</v>
      </c>
      <c r="AH163" s="44">
        <f t="shared" si="87"/>
        <v>0</v>
      </c>
      <c r="AI163" s="44">
        <f t="shared" si="87"/>
        <v>0</v>
      </c>
      <c r="AJ163" s="44">
        <f t="shared" si="87"/>
        <v>0</v>
      </c>
      <c r="AK163" s="44">
        <f t="shared" si="87"/>
        <v>0</v>
      </c>
      <c r="AL163" s="44">
        <f t="shared" si="87"/>
        <v>0</v>
      </c>
    </row>
    <row r="164" spans="1:38" x14ac:dyDescent="0.25">
      <c r="A164" s="32"/>
      <c r="B164" s="39">
        <f>+DESP_JANEIRO!B165</f>
        <v>0</v>
      </c>
      <c r="C164" s="39">
        <f>+DESP_JANEIRO!C165</f>
        <v>0</v>
      </c>
      <c r="D164" s="65">
        <f>+DESP_JANEIRO!F165</f>
        <v>0</v>
      </c>
      <c r="E164" s="41">
        <f>+DESP_JANEIRO!D165</f>
        <v>0</v>
      </c>
      <c r="F164" s="42">
        <f>+DESP_JANEIRO!G165</f>
        <v>0</v>
      </c>
      <c r="G164" s="43">
        <f>+DESP_JANEIRO!H165</f>
        <v>0</v>
      </c>
      <c r="H164" s="44">
        <f t="shared" si="85"/>
        <v>0</v>
      </c>
      <c r="I164" s="44">
        <f t="shared" si="85"/>
        <v>0</v>
      </c>
      <c r="J164" s="44">
        <f t="shared" si="85"/>
        <v>0</v>
      </c>
      <c r="K164" s="44">
        <f t="shared" si="85"/>
        <v>0</v>
      </c>
      <c r="L164" s="44">
        <f t="shared" si="85"/>
        <v>0</v>
      </c>
      <c r="M164" s="44">
        <f t="shared" si="86"/>
        <v>0</v>
      </c>
      <c r="N164" s="44">
        <f t="shared" si="86"/>
        <v>0</v>
      </c>
      <c r="O164" s="44">
        <f t="shared" si="86"/>
        <v>0</v>
      </c>
      <c r="P164" s="44">
        <f t="shared" si="86"/>
        <v>0</v>
      </c>
      <c r="Q164" s="44">
        <f t="shared" si="86"/>
        <v>0</v>
      </c>
      <c r="R164" s="44">
        <f t="shared" si="86"/>
        <v>0</v>
      </c>
      <c r="S164" s="44">
        <f t="shared" si="86"/>
        <v>0</v>
      </c>
      <c r="T164" s="44">
        <f t="shared" si="86"/>
        <v>0</v>
      </c>
      <c r="U164" s="44">
        <f t="shared" si="86"/>
        <v>0</v>
      </c>
      <c r="V164" s="44">
        <f t="shared" si="86"/>
        <v>0</v>
      </c>
      <c r="W164" s="44">
        <f t="shared" si="87"/>
        <v>0</v>
      </c>
      <c r="X164" s="44">
        <f t="shared" si="87"/>
        <v>0</v>
      </c>
      <c r="Y164" s="44">
        <f t="shared" si="87"/>
        <v>0</v>
      </c>
      <c r="Z164" s="44">
        <f t="shared" si="87"/>
        <v>0</v>
      </c>
      <c r="AA164" s="44">
        <f t="shared" si="87"/>
        <v>0</v>
      </c>
      <c r="AB164" s="44">
        <f t="shared" si="87"/>
        <v>0</v>
      </c>
      <c r="AC164" s="44">
        <f t="shared" si="87"/>
        <v>0</v>
      </c>
      <c r="AD164" s="44">
        <f t="shared" si="87"/>
        <v>0</v>
      </c>
      <c r="AE164" s="44">
        <f t="shared" si="87"/>
        <v>0</v>
      </c>
      <c r="AF164" s="44">
        <f t="shared" si="87"/>
        <v>0</v>
      </c>
      <c r="AG164" s="44">
        <f t="shared" si="87"/>
        <v>0</v>
      </c>
      <c r="AH164" s="44">
        <f t="shared" si="87"/>
        <v>0</v>
      </c>
      <c r="AI164" s="44">
        <f t="shared" si="87"/>
        <v>0</v>
      </c>
      <c r="AJ164" s="44">
        <f t="shared" si="87"/>
        <v>0</v>
      </c>
      <c r="AK164" s="44">
        <f t="shared" si="87"/>
        <v>0</v>
      </c>
      <c r="AL164" s="44">
        <f t="shared" si="87"/>
        <v>0</v>
      </c>
    </row>
    <row r="165" spans="1:38" x14ac:dyDescent="0.25">
      <c r="A165" s="32"/>
      <c r="B165" s="39">
        <f>+DESP_JANEIRO!B166</f>
        <v>0</v>
      </c>
      <c r="C165" s="39">
        <f>+DESP_JANEIRO!C166</f>
        <v>0</v>
      </c>
      <c r="D165" s="65">
        <f>+DESP_JANEIRO!F166</f>
        <v>0</v>
      </c>
      <c r="E165" s="41">
        <f>+DESP_JANEIRO!D166</f>
        <v>0</v>
      </c>
      <c r="F165" s="42">
        <f>+DESP_JANEIRO!G166</f>
        <v>0</v>
      </c>
      <c r="G165" s="43">
        <f>+DESP_JANEIRO!H166</f>
        <v>0</v>
      </c>
      <c r="H165" s="44">
        <f t="shared" si="85"/>
        <v>0</v>
      </c>
      <c r="I165" s="44">
        <f t="shared" si="85"/>
        <v>0</v>
      </c>
      <c r="J165" s="44">
        <f t="shared" si="85"/>
        <v>0</v>
      </c>
      <c r="K165" s="44">
        <f t="shared" si="85"/>
        <v>0</v>
      </c>
      <c r="L165" s="44">
        <f t="shared" si="85"/>
        <v>0</v>
      </c>
      <c r="M165" s="44">
        <f t="shared" si="86"/>
        <v>0</v>
      </c>
      <c r="N165" s="44">
        <f t="shared" si="86"/>
        <v>0</v>
      </c>
      <c r="O165" s="44">
        <f t="shared" si="86"/>
        <v>0</v>
      </c>
      <c r="P165" s="44">
        <f t="shared" si="86"/>
        <v>0</v>
      </c>
      <c r="Q165" s="44">
        <f t="shared" si="86"/>
        <v>0</v>
      </c>
      <c r="R165" s="44">
        <f t="shared" si="86"/>
        <v>0</v>
      </c>
      <c r="S165" s="44">
        <f t="shared" si="86"/>
        <v>0</v>
      </c>
      <c r="T165" s="44">
        <f t="shared" si="86"/>
        <v>0</v>
      </c>
      <c r="U165" s="44">
        <f t="shared" si="86"/>
        <v>0</v>
      </c>
      <c r="V165" s="44">
        <f t="shared" si="86"/>
        <v>0</v>
      </c>
      <c r="W165" s="44">
        <f t="shared" si="87"/>
        <v>0</v>
      </c>
      <c r="X165" s="44">
        <f t="shared" si="87"/>
        <v>0</v>
      </c>
      <c r="Y165" s="44">
        <f t="shared" si="87"/>
        <v>0</v>
      </c>
      <c r="Z165" s="44">
        <f t="shared" si="87"/>
        <v>0</v>
      </c>
      <c r="AA165" s="44">
        <f t="shared" si="87"/>
        <v>0</v>
      </c>
      <c r="AB165" s="44">
        <f t="shared" si="87"/>
        <v>0</v>
      </c>
      <c r="AC165" s="44">
        <f t="shared" si="87"/>
        <v>0</v>
      </c>
      <c r="AD165" s="44">
        <f t="shared" si="87"/>
        <v>0</v>
      </c>
      <c r="AE165" s="44">
        <f t="shared" si="87"/>
        <v>0</v>
      </c>
      <c r="AF165" s="44">
        <f t="shared" si="87"/>
        <v>0</v>
      </c>
      <c r="AG165" s="44">
        <f t="shared" si="87"/>
        <v>0</v>
      </c>
      <c r="AH165" s="44">
        <f t="shared" si="87"/>
        <v>0</v>
      </c>
      <c r="AI165" s="44">
        <f t="shared" si="87"/>
        <v>0</v>
      </c>
      <c r="AJ165" s="44">
        <f t="shared" si="87"/>
        <v>0</v>
      </c>
      <c r="AK165" s="44">
        <f t="shared" si="87"/>
        <v>0</v>
      </c>
      <c r="AL165" s="44">
        <f t="shared" si="87"/>
        <v>0</v>
      </c>
    </row>
    <row r="166" spans="1:38" x14ac:dyDescent="0.25">
      <c r="A166" s="32"/>
      <c r="B166" s="39">
        <f>+DESP_JANEIRO!B167</f>
        <v>0</v>
      </c>
      <c r="C166" s="39">
        <f>+DESP_JANEIRO!C167</f>
        <v>0</v>
      </c>
      <c r="D166" s="65">
        <f>+DESP_JANEIRO!F167</f>
        <v>0</v>
      </c>
      <c r="E166" s="41">
        <f>+DESP_JANEIRO!D167</f>
        <v>0</v>
      </c>
      <c r="F166" s="42">
        <f>+DESP_JANEIRO!G167</f>
        <v>0</v>
      </c>
      <c r="G166" s="43">
        <f>+DESP_JANEIRO!H167</f>
        <v>0</v>
      </c>
      <c r="H166" s="44">
        <f t="shared" si="85"/>
        <v>0</v>
      </c>
      <c r="I166" s="44">
        <f t="shared" si="85"/>
        <v>0</v>
      </c>
      <c r="J166" s="44">
        <f t="shared" si="85"/>
        <v>0</v>
      </c>
      <c r="K166" s="44">
        <f t="shared" si="85"/>
        <v>0</v>
      </c>
      <c r="L166" s="44">
        <f t="shared" si="85"/>
        <v>0</v>
      </c>
      <c r="M166" s="44">
        <f t="shared" si="86"/>
        <v>0</v>
      </c>
      <c r="N166" s="44">
        <f t="shared" si="86"/>
        <v>0</v>
      </c>
      <c r="O166" s="44">
        <f t="shared" si="86"/>
        <v>0</v>
      </c>
      <c r="P166" s="44">
        <f t="shared" si="86"/>
        <v>0</v>
      </c>
      <c r="Q166" s="44">
        <f t="shared" si="86"/>
        <v>0</v>
      </c>
      <c r="R166" s="44">
        <f t="shared" si="86"/>
        <v>0</v>
      </c>
      <c r="S166" s="44">
        <f t="shared" si="86"/>
        <v>0</v>
      </c>
      <c r="T166" s="44">
        <f t="shared" si="86"/>
        <v>0</v>
      </c>
      <c r="U166" s="44">
        <f t="shared" si="86"/>
        <v>0</v>
      </c>
      <c r="V166" s="44">
        <f t="shared" si="86"/>
        <v>0</v>
      </c>
      <c r="W166" s="44">
        <f t="shared" si="87"/>
        <v>0</v>
      </c>
      <c r="X166" s="44">
        <f t="shared" si="87"/>
        <v>0</v>
      </c>
      <c r="Y166" s="44">
        <f t="shared" si="87"/>
        <v>0</v>
      </c>
      <c r="Z166" s="44">
        <f t="shared" si="87"/>
        <v>0</v>
      </c>
      <c r="AA166" s="44">
        <f t="shared" si="87"/>
        <v>0</v>
      </c>
      <c r="AB166" s="44">
        <f t="shared" si="87"/>
        <v>0</v>
      </c>
      <c r="AC166" s="44">
        <f t="shared" si="87"/>
        <v>0</v>
      </c>
      <c r="AD166" s="44">
        <f t="shared" si="87"/>
        <v>0</v>
      </c>
      <c r="AE166" s="44">
        <f t="shared" si="87"/>
        <v>0</v>
      </c>
      <c r="AF166" s="44">
        <f t="shared" si="87"/>
        <v>0</v>
      </c>
      <c r="AG166" s="44">
        <f t="shared" si="87"/>
        <v>0</v>
      </c>
      <c r="AH166" s="44">
        <f t="shared" si="87"/>
        <v>0</v>
      </c>
      <c r="AI166" s="44">
        <f t="shared" si="87"/>
        <v>0</v>
      </c>
      <c r="AJ166" s="44">
        <f t="shared" si="87"/>
        <v>0</v>
      </c>
      <c r="AK166" s="44">
        <f t="shared" si="87"/>
        <v>0</v>
      </c>
      <c r="AL166" s="44">
        <f t="shared" si="87"/>
        <v>0</v>
      </c>
    </row>
    <row r="167" spans="1:38" x14ac:dyDescent="0.25">
      <c r="A167" s="32"/>
      <c r="B167" s="39">
        <f>+DESP_JANEIRO!B168</f>
        <v>0</v>
      </c>
      <c r="C167" s="39">
        <f>+DESP_JANEIRO!C168</f>
        <v>0</v>
      </c>
      <c r="D167" s="65">
        <f>+DESP_JANEIRO!F168</f>
        <v>0</v>
      </c>
      <c r="E167" s="41">
        <f>+DESP_JANEIRO!D168</f>
        <v>0</v>
      </c>
      <c r="F167" s="42">
        <f>+DESP_JANEIRO!G168</f>
        <v>0</v>
      </c>
      <c r="G167" s="43">
        <f>+DESP_JANEIRO!H168</f>
        <v>0</v>
      </c>
      <c r="H167" s="44">
        <f t="shared" si="85"/>
        <v>0</v>
      </c>
      <c r="I167" s="44">
        <f t="shared" si="85"/>
        <v>0</v>
      </c>
      <c r="J167" s="44">
        <f t="shared" si="85"/>
        <v>0</v>
      </c>
      <c r="K167" s="44">
        <f t="shared" si="85"/>
        <v>0</v>
      </c>
      <c r="L167" s="44">
        <f t="shared" si="85"/>
        <v>0</v>
      </c>
      <c r="M167" s="44">
        <f t="shared" si="86"/>
        <v>0</v>
      </c>
      <c r="N167" s="44">
        <f t="shared" si="86"/>
        <v>0</v>
      </c>
      <c r="O167" s="44">
        <f t="shared" si="86"/>
        <v>0</v>
      </c>
      <c r="P167" s="44">
        <f t="shared" si="86"/>
        <v>0</v>
      </c>
      <c r="Q167" s="44">
        <f t="shared" si="86"/>
        <v>0</v>
      </c>
      <c r="R167" s="44">
        <f t="shared" si="86"/>
        <v>0</v>
      </c>
      <c r="S167" s="44">
        <f t="shared" si="86"/>
        <v>0</v>
      </c>
      <c r="T167" s="44">
        <f t="shared" si="86"/>
        <v>0</v>
      </c>
      <c r="U167" s="44">
        <f t="shared" si="86"/>
        <v>0</v>
      </c>
      <c r="V167" s="44">
        <f t="shared" si="86"/>
        <v>0</v>
      </c>
      <c r="W167" s="44">
        <f t="shared" si="87"/>
        <v>0</v>
      </c>
      <c r="X167" s="44">
        <f t="shared" si="87"/>
        <v>0</v>
      </c>
      <c r="Y167" s="44">
        <f t="shared" si="87"/>
        <v>0</v>
      </c>
      <c r="Z167" s="44">
        <f t="shared" si="87"/>
        <v>0</v>
      </c>
      <c r="AA167" s="44">
        <f t="shared" si="87"/>
        <v>0</v>
      </c>
      <c r="AB167" s="44">
        <f t="shared" si="87"/>
        <v>0</v>
      </c>
      <c r="AC167" s="44">
        <f t="shared" si="87"/>
        <v>0</v>
      </c>
      <c r="AD167" s="44">
        <f t="shared" si="87"/>
        <v>0</v>
      </c>
      <c r="AE167" s="44">
        <f t="shared" si="87"/>
        <v>0</v>
      </c>
      <c r="AF167" s="44">
        <f t="shared" si="87"/>
        <v>0</v>
      </c>
      <c r="AG167" s="44">
        <f t="shared" si="87"/>
        <v>0</v>
      </c>
      <c r="AH167" s="44">
        <f t="shared" si="87"/>
        <v>0</v>
      </c>
      <c r="AI167" s="44">
        <f t="shared" si="87"/>
        <v>0</v>
      </c>
      <c r="AJ167" s="44">
        <f t="shared" si="87"/>
        <v>0</v>
      </c>
      <c r="AK167" s="44">
        <f t="shared" si="87"/>
        <v>0</v>
      </c>
      <c r="AL167" s="44">
        <f t="shared" si="87"/>
        <v>0</v>
      </c>
    </row>
    <row r="168" spans="1:38" x14ac:dyDescent="0.25">
      <c r="A168" s="58" t="s">
        <v>11</v>
      </c>
      <c r="B168" s="59">
        <f>+SUM(B158:B167)</f>
        <v>226600</v>
      </c>
      <c r="C168" s="59"/>
      <c r="D168" s="66"/>
      <c r="E168" s="59">
        <f>+SUM(E159:E167)</f>
        <v>0</v>
      </c>
      <c r="F168" s="62">
        <f t="shared" ref="F168:F170" si="88">+IF(B168=0,"-",E168/B168)</f>
        <v>0</v>
      </c>
      <c r="G168" s="21"/>
      <c r="H168" s="59">
        <f>+SUM(H158:H167)</f>
        <v>9000</v>
      </c>
      <c r="I168" s="59">
        <f t="shared" ref="I168:AL168" si="89">+SUM(I158:I167)</f>
        <v>9000</v>
      </c>
      <c r="J168" s="59">
        <f t="shared" si="89"/>
        <v>14200</v>
      </c>
      <c r="K168" s="59">
        <f t="shared" si="89"/>
        <v>0</v>
      </c>
      <c r="L168" s="59">
        <f t="shared" si="89"/>
        <v>9000</v>
      </c>
      <c r="M168" s="59">
        <f t="shared" si="89"/>
        <v>9000</v>
      </c>
      <c r="N168" s="59">
        <f t="shared" si="89"/>
        <v>9000</v>
      </c>
      <c r="O168" s="59">
        <f t="shared" si="89"/>
        <v>9000</v>
      </c>
      <c r="P168" s="59">
        <f t="shared" si="89"/>
        <v>9000</v>
      </c>
      <c r="Q168" s="59">
        <f t="shared" si="89"/>
        <v>3600</v>
      </c>
      <c r="R168" s="59">
        <f t="shared" si="89"/>
        <v>0</v>
      </c>
      <c r="S168" s="59">
        <f t="shared" si="89"/>
        <v>9000</v>
      </c>
      <c r="T168" s="59">
        <f t="shared" si="89"/>
        <v>9000</v>
      </c>
      <c r="U168" s="59">
        <f t="shared" si="89"/>
        <v>9000</v>
      </c>
      <c r="V168" s="59">
        <f t="shared" si="89"/>
        <v>9000</v>
      </c>
      <c r="W168" s="59">
        <f t="shared" si="89"/>
        <v>9000</v>
      </c>
      <c r="X168" s="59">
        <f t="shared" si="89"/>
        <v>3600</v>
      </c>
      <c r="Y168" s="59">
        <f t="shared" si="89"/>
        <v>0</v>
      </c>
      <c r="Z168" s="59">
        <f t="shared" si="89"/>
        <v>9000</v>
      </c>
      <c r="AA168" s="59">
        <f t="shared" si="89"/>
        <v>9000</v>
      </c>
      <c r="AB168" s="59">
        <f t="shared" si="89"/>
        <v>9000</v>
      </c>
      <c r="AC168" s="59">
        <f t="shared" si="89"/>
        <v>9000</v>
      </c>
      <c r="AD168" s="59">
        <f t="shared" si="89"/>
        <v>9000</v>
      </c>
      <c r="AE168" s="59">
        <f t="shared" si="89"/>
        <v>3600</v>
      </c>
      <c r="AF168" s="59">
        <f t="shared" si="89"/>
        <v>0</v>
      </c>
      <c r="AG168" s="59">
        <f t="shared" si="89"/>
        <v>9000</v>
      </c>
      <c r="AH168" s="59">
        <f t="shared" si="89"/>
        <v>9000</v>
      </c>
      <c r="AI168" s="59">
        <f t="shared" si="89"/>
        <v>9000</v>
      </c>
      <c r="AJ168" s="59">
        <f t="shared" si="89"/>
        <v>9000</v>
      </c>
      <c r="AK168" s="59">
        <f t="shared" si="89"/>
        <v>9000</v>
      </c>
      <c r="AL168" s="59">
        <f t="shared" si="89"/>
        <v>3600</v>
      </c>
    </row>
    <row r="169" spans="1:38" x14ac:dyDescent="0.25">
      <c r="A169" s="58" t="s">
        <v>16</v>
      </c>
      <c r="B169" s="66"/>
      <c r="C169" s="66"/>
      <c r="D169" s="66"/>
      <c r="E169" s="66"/>
      <c r="F169" s="67"/>
      <c r="G169" s="21"/>
      <c r="H169" s="59">
        <f>+H168</f>
        <v>9000</v>
      </c>
      <c r="I169" s="59">
        <f>+I168+H169</f>
        <v>18000</v>
      </c>
      <c r="J169" s="59">
        <f t="shared" ref="J169:AL169" si="90">+J168+I169</f>
        <v>32200</v>
      </c>
      <c r="K169" s="59">
        <f t="shared" si="90"/>
        <v>32200</v>
      </c>
      <c r="L169" s="59">
        <f t="shared" si="90"/>
        <v>41200</v>
      </c>
      <c r="M169" s="59">
        <f t="shared" si="90"/>
        <v>50200</v>
      </c>
      <c r="N169" s="59">
        <f t="shared" si="90"/>
        <v>59200</v>
      </c>
      <c r="O169" s="59">
        <f t="shared" si="90"/>
        <v>68200</v>
      </c>
      <c r="P169" s="59">
        <f t="shared" si="90"/>
        <v>77200</v>
      </c>
      <c r="Q169" s="59">
        <f t="shared" si="90"/>
        <v>80800</v>
      </c>
      <c r="R169" s="59">
        <f t="shared" si="90"/>
        <v>80800</v>
      </c>
      <c r="S169" s="59">
        <f t="shared" si="90"/>
        <v>89800</v>
      </c>
      <c r="T169" s="59">
        <f t="shared" si="90"/>
        <v>98800</v>
      </c>
      <c r="U169" s="59">
        <f t="shared" si="90"/>
        <v>107800</v>
      </c>
      <c r="V169" s="59">
        <f t="shared" si="90"/>
        <v>116800</v>
      </c>
      <c r="W169" s="59">
        <f t="shared" si="90"/>
        <v>125800</v>
      </c>
      <c r="X169" s="59">
        <f t="shared" si="90"/>
        <v>129400</v>
      </c>
      <c r="Y169" s="59">
        <f t="shared" si="90"/>
        <v>129400</v>
      </c>
      <c r="Z169" s="59">
        <f t="shared" si="90"/>
        <v>138400</v>
      </c>
      <c r="AA169" s="59">
        <f t="shared" si="90"/>
        <v>147400</v>
      </c>
      <c r="AB169" s="59">
        <f t="shared" si="90"/>
        <v>156400</v>
      </c>
      <c r="AC169" s="59">
        <f t="shared" si="90"/>
        <v>165400</v>
      </c>
      <c r="AD169" s="59">
        <f t="shared" si="90"/>
        <v>174400</v>
      </c>
      <c r="AE169" s="59">
        <f t="shared" si="90"/>
        <v>178000</v>
      </c>
      <c r="AF169" s="59">
        <f t="shared" si="90"/>
        <v>178000</v>
      </c>
      <c r="AG169" s="59">
        <f t="shared" si="90"/>
        <v>187000</v>
      </c>
      <c r="AH169" s="59">
        <f t="shared" si="90"/>
        <v>196000</v>
      </c>
      <c r="AI169" s="59">
        <f t="shared" si="90"/>
        <v>205000</v>
      </c>
      <c r="AJ169" s="59">
        <f t="shared" si="90"/>
        <v>214000</v>
      </c>
      <c r="AK169" s="59">
        <f t="shared" si="90"/>
        <v>223000</v>
      </c>
      <c r="AL169" s="59">
        <f t="shared" si="90"/>
        <v>226600</v>
      </c>
    </row>
    <row r="170" spans="1:38" x14ac:dyDescent="0.25">
      <c r="A170" s="45" t="s">
        <v>15</v>
      </c>
      <c r="B170" s="46">
        <f>+B168-B155</f>
        <v>42092.909999999974</v>
      </c>
      <c r="C170" s="46"/>
      <c r="D170" s="46"/>
      <c r="E170" s="46">
        <f>+E168-E155</f>
        <v>-45933.070000000014</v>
      </c>
      <c r="F170" s="48">
        <f t="shared" si="88"/>
        <v>-1.0912305659076562</v>
      </c>
      <c r="G170" s="21"/>
      <c r="H170" s="46">
        <f>+H169-H156</f>
        <v>-4199.619999999999</v>
      </c>
      <c r="I170" s="46">
        <f t="shared" ref="I170:AL170" si="91">+I169-I156</f>
        <v>-3349.619999999999</v>
      </c>
      <c r="J170" s="46">
        <f t="shared" si="91"/>
        <v>8474.48</v>
      </c>
      <c r="K170" s="46">
        <f t="shared" si="91"/>
        <v>8451.489999999998</v>
      </c>
      <c r="L170" s="46">
        <f t="shared" si="91"/>
        <v>5069.5299999999988</v>
      </c>
      <c r="M170" s="46">
        <f t="shared" si="91"/>
        <v>-975.05999999999767</v>
      </c>
      <c r="N170" s="46">
        <f t="shared" si="91"/>
        <v>1620.5299999999988</v>
      </c>
      <c r="O170" s="46">
        <f t="shared" si="91"/>
        <v>14.479999999995925</v>
      </c>
      <c r="P170" s="46">
        <f t="shared" si="91"/>
        <v>40.130000000004657</v>
      </c>
      <c r="Q170" s="46">
        <f t="shared" si="91"/>
        <v>1054.5100000000093</v>
      </c>
      <c r="R170" s="46">
        <f t="shared" si="91"/>
        <v>-8545.2099999999919</v>
      </c>
      <c r="S170" s="46">
        <f t="shared" si="91"/>
        <v>-6604.8499999999913</v>
      </c>
      <c r="T170" s="46">
        <f t="shared" si="91"/>
        <v>-423.2899999999936</v>
      </c>
      <c r="U170" s="46">
        <f t="shared" si="91"/>
        <v>8576.7100000000064</v>
      </c>
      <c r="V170" s="46">
        <f t="shared" si="91"/>
        <v>4270.6300000000047</v>
      </c>
      <c r="W170" s="46">
        <f t="shared" si="91"/>
        <v>13270.630000000005</v>
      </c>
      <c r="X170" s="46">
        <f t="shared" si="91"/>
        <v>15860.630000000005</v>
      </c>
      <c r="Y170" s="46">
        <f t="shared" si="91"/>
        <v>15860.630000000005</v>
      </c>
      <c r="Z170" s="46">
        <f t="shared" si="91"/>
        <v>17960.630000000005</v>
      </c>
      <c r="AA170" s="46">
        <f t="shared" si="91"/>
        <v>12740.630000000005</v>
      </c>
      <c r="AB170" s="46">
        <f t="shared" si="91"/>
        <v>21740.630000000005</v>
      </c>
      <c r="AC170" s="46">
        <f t="shared" si="91"/>
        <v>30643.640000000014</v>
      </c>
      <c r="AD170" s="46">
        <f t="shared" si="91"/>
        <v>35266.560000000027</v>
      </c>
      <c r="AE170" s="46">
        <f t="shared" si="91"/>
        <v>38866.560000000027</v>
      </c>
      <c r="AF170" s="46">
        <f t="shared" si="91"/>
        <v>33320.400000000023</v>
      </c>
      <c r="AG170" s="46">
        <f t="shared" si="91"/>
        <v>29310.270000000019</v>
      </c>
      <c r="AH170" s="46">
        <f t="shared" si="91"/>
        <v>37786.200000000012</v>
      </c>
      <c r="AI170" s="46">
        <f t="shared" si="91"/>
        <v>39446.350000000006</v>
      </c>
      <c r="AJ170" s="46">
        <f t="shared" si="91"/>
        <v>48446.350000000006</v>
      </c>
      <c r="AK170" s="46">
        <f t="shared" si="91"/>
        <v>51982.399999999994</v>
      </c>
      <c r="AL170" s="46">
        <f t="shared" si="91"/>
        <v>55582.399999999994</v>
      </c>
    </row>
    <row r="171" spans="1:38" x14ac:dyDescent="0.25">
      <c r="A171" s="20"/>
      <c r="B171" s="20"/>
      <c r="C171" s="20"/>
      <c r="D171" s="20"/>
      <c r="E171" s="20"/>
      <c r="F171" s="20"/>
      <c r="G171" s="21"/>
      <c r="H171" s="68">
        <f>+DESP_JANEIRO!I254</f>
        <v>4</v>
      </c>
      <c r="I171" s="68">
        <f>+DESP_JANEIRO!J254</f>
        <v>5</v>
      </c>
      <c r="J171" s="68">
        <f>+DESP_JANEIRO!K254</f>
        <v>6</v>
      </c>
      <c r="K171" s="68">
        <f>+DESP_JANEIRO!L254</f>
        <v>7</v>
      </c>
      <c r="L171" s="68">
        <f>+DESP_JANEIRO!M254</f>
        <v>1</v>
      </c>
      <c r="M171" s="68">
        <f>+DESP_JANEIRO!N254</f>
        <v>2</v>
      </c>
      <c r="N171" s="68">
        <f>+DESP_JANEIRO!O254</f>
        <v>3</v>
      </c>
      <c r="O171" s="68">
        <f>+DESP_JANEIRO!P254</f>
        <v>4</v>
      </c>
      <c r="P171" s="68">
        <f>+DESP_JANEIRO!Q254</f>
        <v>5</v>
      </c>
      <c r="Q171" s="68">
        <f>+DESP_JANEIRO!R254</f>
        <v>6</v>
      </c>
      <c r="R171" s="68">
        <f>+DESP_JANEIRO!S254</f>
        <v>7</v>
      </c>
      <c r="S171" s="68">
        <f>+DESP_JANEIRO!T254</f>
        <v>1</v>
      </c>
      <c r="T171" s="68">
        <f>+DESP_JANEIRO!U254</f>
        <v>2</v>
      </c>
      <c r="U171" s="68">
        <f>+DESP_JANEIRO!V254</f>
        <v>3</v>
      </c>
      <c r="V171" s="68">
        <f>+DESP_JANEIRO!W254</f>
        <v>4</v>
      </c>
      <c r="W171" s="68">
        <f>+DESP_JANEIRO!X254</f>
        <v>5</v>
      </c>
      <c r="X171" s="68">
        <f>+DESP_JANEIRO!Y254</f>
        <v>6</v>
      </c>
      <c r="Y171" s="68">
        <f>+DESP_JANEIRO!Z254</f>
        <v>7</v>
      </c>
      <c r="Z171" s="68">
        <f>+DESP_JANEIRO!AA254</f>
        <v>1</v>
      </c>
      <c r="AA171" s="68">
        <f>+DESP_JANEIRO!AB254</f>
        <v>2</v>
      </c>
      <c r="AB171" s="68">
        <f>+DESP_JANEIRO!AC254</f>
        <v>3</v>
      </c>
      <c r="AC171" s="68">
        <f>+DESP_JANEIRO!AD254</f>
        <v>4</v>
      </c>
      <c r="AD171" s="68">
        <f>+DESP_JANEIRO!AE254</f>
        <v>5</v>
      </c>
      <c r="AE171" s="68">
        <f>+DESP_JANEIRO!AF254</f>
        <v>6</v>
      </c>
      <c r="AF171" s="68">
        <f>+DESP_JANEIRO!AG254</f>
        <v>7</v>
      </c>
      <c r="AG171" s="68">
        <f>+DESP_JANEIRO!AH254</f>
        <v>1</v>
      </c>
      <c r="AH171" s="68">
        <f>+DESP_JANEIRO!AI254</f>
        <v>2</v>
      </c>
      <c r="AI171" s="68">
        <f>+DESP_JANEIRO!AJ254</f>
        <v>3</v>
      </c>
      <c r="AJ171" s="68">
        <f>+DESP_JANEIRO!AK254</f>
        <v>4</v>
      </c>
      <c r="AK171" s="68">
        <f>+DESP_JANEIRO!AL254</f>
        <v>5</v>
      </c>
      <c r="AL171" s="68">
        <f>+DESP_JANEIRO!AM254</f>
        <v>6</v>
      </c>
    </row>
    <row r="172" spans="1:38" x14ac:dyDescent="0.25">
      <c r="A172" s="22"/>
      <c r="B172" s="20"/>
      <c r="C172" s="20"/>
      <c r="D172" s="20"/>
      <c r="E172" s="20"/>
      <c r="F172" s="20"/>
      <c r="G172" s="21"/>
      <c r="H172" s="23">
        <f t="shared" ref="H172:AL172" ca="1" si="92">+IF(H3&gt;$F1,0,1)</f>
        <v>1</v>
      </c>
      <c r="I172" s="23">
        <f t="shared" ca="1" si="92"/>
        <v>1</v>
      </c>
      <c r="J172" s="23">
        <f t="shared" ca="1" si="92"/>
        <v>1</v>
      </c>
      <c r="K172" s="23">
        <f t="shared" ca="1" si="92"/>
        <v>1</v>
      </c>
      <c r="L172" s="23">
        <f t="shared" ca="1" si="92"/>
        <v>1</v>
      </c>
      <c r="M172" s="23">
        <f t="shared" ca="1" si="92"/>
        <v>1</v>
      </c>
      <c r="N172" s="23">
        <f t="shared" ca="1" si="92"/>
        <v>1</v>
      </c>
      <c r="O172" s="23">
        <f t="shared" ca="1" si="92"/>
        <v>1</v>
      </c>
      <c r="P172" s="23">
        <f t="shared" ca="1" si="92"/>
        <v>1</v>
      </c>
      <c r="Q172" s="23">
        <f t="shared" ca="1" si="92"/>
        <v>1</v>
      </c>
      <c r="R172" s="23">
        <f t="shared" ca="1" si="92"/>
        <v>1</v>
      </c>
      <c r="S172" s="23">
        <f t="shared" ca="1" si="92"/>
        <v>1</v>
      </c>
      <c r="T172" s="23">
        <f t="shared" ca="1" si="92"/>
        <v>1</v>
      </c>
      <c r="U172" s="23">
        <f t="shared" ca="1" si="92"/>
        <v>0</v>
      </c>
      <c r="V172" s="23">
        <f t="shared" ca="1" si="92"/>
        <v>0</v>
      </c>
      <c r="W172" s="23">
        <f t="shared" ca="1" si="92"/>
        <v>0</v>
      </c>
      <c r="X172" s="23">
        <f t="shared" ca="1" si="92"/>
        <v>0</v>
      </c>
      <c r="Y172" s="23">
        <f t="shared" ca="1" si="92"/>
        <v>0</v>
      </c>
      <c r="Z172" s="23">
        <f t="shared" ca="1" si="92"/>
        <v>0</v>
      </c>
      <c r="AA172" s="23">
        <f t="shared" ca="1" si="92"/>
        <v>0</v>
      </c>
      <c r="AB172" s="23">
        <f t="shared" ca="1" si="92"/>
        <v>0</v>
      </c>
      <c r="AC172" s="23">
        <f t="shared" ca="1" si="92"/>
        <v>0</v>
      </c>
      <c r="AD172" s="23">
        <f t="shared" ca="1" si="92"/>
        <v>0</v>
      </c>
      <c r="AE172" s="23">
        <f t="shared" ca="1" si="92"/>
        <v>0</v>
      </c>
      <c r="AF172" s="23">
        <f t="shared" ca="1" si="92"/>
        <v>0</v>
      </c>
      <c r="AG172" s="23">
        <f t="shared" ca="1" si="92"/>
        <v>0</v>
      </c>
      <c r="AH172" s="23">
        <f t="shared" ca="1" si="92"/>
        <v>0</v>
      </c>
      <c r="AI172" s="23">
        <f t="shared" ca="1" si="92"/>
        <v>0</v>
      </c>
      <c r="AJ172" s="23">
        <f t="shared" ca="1" si="92"/>
        <v>0</v>
      </c>
      <c r="AK172" s="23">
        <f t="shared" ca="1" si="92"/>
        <v>0</v>
      </c>
      <c r="AL172" s="23">
        <f t="shared" ca="1" si="92"/>
        <v>0</v>
      </c>
    </row>
  </sheetData>
  <conditionalFormatting sqref="H6:AL26 H158:AL167">
    <cfRule type="expression" dxfId="1" priority="23">
      <formula>OR(H$171=6,H$171=7)</formula>
    </cfRule>
  </conditionalFormatting>
  <conditionalFormatting sqref="H29:AL44">
    <cfRule type="expression" dxfId="32" priority="21">
      <formula>OR(H$171=6,H$171=7)</formula>
    </cfRule>
  </conditionalFormatting>
  <conditionalFormatting sqref="H47:AL67">
    <cfRule type="expression" dxfId="31" priority="19">
      <formula>OR(H$171=6,H$171=7)</formula>
    </cfRule>
  </conditionalFormatting>
  <conditionalFormatting sqref="H70:AL89">
    <cfRule type="expression" dxfId="30" priority="17">
      <formula>OR(H$171=6,H$171=7)</formula>
    </cfRule>
  </conditionalFormatting>
  <conditionalFormatting sqref="H92:AL98">
    <cfRule type="expression" dxfId="29" priority="15">
      <formula>OR(H$171=6,H$171=7)</formula>
    </cfRule>
  </conditionalFormatting>
  <conditionalFormatting sqref="H101:AL104">
    <cfRule type="expression" dxfId="28" priority="13">
      <formula>OR(H$171=6,H$171=7)</formula>
    </cfRule>
  </conditionalFormatting>
  <conditionalFormatting sqref="H107:AL112">
    <cfRule type="expression" dxfId="27" priority="11">
      <formula>OR(H$171=6,H$171=7)</formula>
    </cfRule>
  </conditionalFormatting>
  <conditionalFormatting sqref="H115:AL122">
    <cfRule type="expression" dxfId="26" priority="9">
      <formula>OR(H$171=6,H$171=7)</formula>
    </cfRule>
  </conditionalFormatting>
  <conditionalFormatting sqref="H125:AL131">
    <cfRule type="expression" dxfId="25" priority="7">
      <formula>OR(H$171=6,H$171=7)</formula>
    </cfRule>
  </conditionalFormatting>
  <conditionalFormatting sqref="H134:AL138">
    <cfRule type="expression" dxfId="24" priority="5">
      <formula>OR(H$171=6,H$171=7)</formula>
    </cfRule>
  </conditionalFormatting>
  <conditionalFormatting sqref="H141:AL153">
    <cfRule type="expression" dxfId="23" priority="3">
      <formula>OR(H$171=6,H$171=7)</formula>
    </cfRule>
  </conditionalFormatting>
  <conditionalFormatting sqref="AJ7:AJ26">
    <cfRule type="expression" dxfId="22" priority="24">
      <formula>+OR($AJ$171=6,$AJ$171=7)</formula>
    </cfRule>
  </conditionalFormatting>
  <conditionalFormatting sqref="AJ29:AJ44">
    <cfRule type="expression" dxfId="21" priority="22">
      <formula>+OR($AJ$171=6,$AJ$171=7)</formula>
    </cfRule>
  </conditionalFormatting>
  <conditionalFormatting sqref="AJ47:AJ67">
    <cfRule type="expression" dxfId="20" priority="20">
      <formula>+OR($AJ$171=6,$AJ$171=7)</formula>
    </cfRule>
  </conditionalFormatting>
  <conditionalFormatting sqref="AJ70:AJ89">
    <cfRule type="expression" dxfId="19" priority="18">
      <formula>+OR($AJ$171=6,$AJ$171=7)</formula>
    </cfRule>
  </conditionalFormatting>
  <conditionalFormatting sqref="AJ92:AJ98">
    <cfRule type="expression" dxfId="18" priority="16">
      <formula>+OR($AJ$171=6,$AJ$171=7)</formula>
    </cfRule>
  </conditionalFormatting>
  <conditionalFormatting sqref="AJ101:AJ104">
    <cfRule type="expression" dxfId="17" priority="14">
      <formula>+OR($AJ$171=6,$AJ$171=7)</formula>
    </cfRule>
  </conditionalFormatting>
  <conditionalFormatting sqref="AJ107:AJ112">
    <cfRule type="expression" dxfId="16" priority="12">
      <formula>+OR($AJ$171=6,$AJ$171=7)</formula>
    </cfRule>
  </conditionalFormatting>
  <conditionalFormatting sqref="AJ115:AJ122">
    <cfRule type="expression" dxfId="15" priority="10">
      <formula>+OR($AJ$171=6,$AJ$171=7)</formula>
    </cfRule>
  </conditionalFormatting>
  <conditionalFormatting sqref="AJ125:AJ131">
    <cfRule type="expression" dxfId="14" priority="8">
      <formula>+OR($AJ$171=6,$AJ$171=7)</formula>
    </cfRule>
  </conditionalFormatting>
  <conditionalFormatting sqref="AJ134:AJ138">
    <cfRule type="expression" dxfId="13" priority="6">
      <formula>+OR($AJ$171=6,$AJ$171=7)</formula>
    </cfRule>
  </conditionalFormatting>
  <conditionalFormatting sqref="AJ141:AJ153">
    <cfRule type="expression" dxfId="12" priority="4">
      <formula>+OR($AJ$171=6,$AJ$171=7)</formula>
    </cfRule>
  </conditionalFormatting>
  <conditionalFormatting sqref="AJ159:AJ167">
    <cfRule type="expression" dxfId="11" priority="2">
      <formula>+OR($AJ$171=6,$AJ$171=7)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74146-268A-4D94-A65A-44A2A91D3DC9}">
  <sheetPr>
    <pageSetUpPr fitToPage="1"/>
  </sheetPr>
  <dimension ref="A1:L116"/>
  <sheetViews>
    <sheetView zoomScale="80" zoomScaleNormal="80" workbookViewId="0">
      <selection activeCell="A109" sqref="A109"/>
    </sheetView>
  </sheetViews>
  <sheetFormatPr defaultRowHeight="15" x14ac:dyDescent="0.25"/>
  <cols>
    <col min="1" max="1" width="37.42578125" customWidth="1"/>
    <col min="2" max="2" width="17.7109375" customWidth="1"/>
    <col min="3" max="3" width="11.5703125" customWidth="1"/>
    <col min="4" max="4" width="17.7109375" customWidth="1"/>
    <col min="5" max="5" width="7.85546875" customWidth="1"/>
    <col min="6" max="6" width="17.7109375" customWidth="1"/>
    <col min="7" max="7" width="6.85546875" customWidth="1"/>
    <col min="8" max="8" width="1.42578125" customWidth="1"/>
    <col min="9" max="10" width="17.7109375" customWidth="1"/>
    <col min="11" max="11" width="19.5703125" customWidth="1"/>
    <col min="12" max="12" width="19.28515625" customWidth="1"/>
  </cols>
  <sheetData>
    <row r="1" spans="1:12" ht="26.25" x14ac:dyDescent="0.4">
      <c r="A1" s="79" t="s">
        <v>25</v>
      </c>
      <c r="B1" s="79"/>
      <c r="C1" s="79"/>
    </row>
    <row r="2" spans="1:12" ht="15.75" thickBot="1" x14ac:dyDescent="0.3"/>
    <row r="3" spans="1:12" ht="15.75" x14ac:dyDescent="0.25">
      <c r="A3" s="144" t="s">
        <v>218</v>
      </c>
      <c r="B3" s="145"/>
      <c r="C3" s="145"/>
      <c r="D3" s="145"/>
      <c r="E3" s="145"/>
      <c r="F3" s="145"/>
      <c r="G3" s="145"/>
      <c r="H3" s="145"/>
      <c r="I3" s="145"/>
      <c r="J3" s="145"/>
      <c r="K3" s="69"/>
      <c r="L3" s="70"/>
    </row>
    <row r="4" spans="1:12" ht="15.75" x14ac:dyDescent="0.25">
      <c r="A4" s="146" t="s">
        <v>49</v>
      </c>
      <c r="B4" s="149"/>
      <c r="C4" s="149"/>
      <c r="D4" s="149"/>
      <c r="E4" s="149"/>
      <c r="F4" s="149"/>
      <c r="G4" s="149"/>
      <c r="H4" s="149"/>
      <c r="I4" s="149"/>
      <c r="J4" s="149"/>
      <c r="K4" s="71"/>
      <c r="L4" s="72"/>
    </row>
    <row r="5" spans="1:12" ht="15.75" x14ac:dyDescent="0.25">
      <c r="A5" s="146" t="s">
        <v>56</v>
      </c>
      <c r="B5" s="149"/>
      <c r="C5" s="149"/>
      <c r="D5" s="149"/>
      <c r="E5" s="149"/>
      <c r="F5" s="149"/>
      <c r="G5" s="149"/>
      <c r="H5" s="149"/>
      <c r="I5" s="149"/>
      <c r="J5" s="149"/>
      <c r="K5" s="71"/>
      <c r="L5" s="72"/>
    </row>
    <row r="6" spans="1:12" ht="15.75" x14ac:dyDescent="0.25">
      <c r="A6" s="146" t="s">
        <v>57</v>
      </c>
      <c r="B6" s="149"/>
      <c r="C6" s="149"/>
      <c r="D6" s="149"/>
      <c r="E6" s="149"/>
      <c r="F6" s="149"/>
      <c r="G6" s="149"/>
      <c r="H6" s="149"/>
      <c r="I6" s="149"/>
      <c r="J6" s="149"/>
      <c r="K6" s="71"/>
      <c r="L6" s="72"/>
    </row>
    <row r="7" spans="1:12" ht="15.75" x14ac:dyDescent="0.25">
      <c r="A7" s="146" t="s">
        <v>33</v>
      </c>
      <c r="B7" s="149"/>
      <c r="C7" s="149"/>
      <c r="D7" s="149"/>
      <c r="E7" s="149"/>
      <c r="F7" s="149"/>
      <c r="G7" s="149"/>
      <c r="H7" s="149"/>
      <c r="I7" s="149"/>
      <c r="J7" s="149"/>
      <c r="K7" s="71"/>
      <c r="L7" s="72"/>
    </row>
    <row r="8" spans="1:12" ht="15.75" x14ac:dyDescent="0.25">
      <c r="A8" s="146" t="s">
        <v>58</v>
      </c>
      <c r="B8" s="149"/>
      <c r="C8" s="149"/>
      <c r="D8" s="149"/>
      <c r="E8" s="149"/>
      <c r="F8" s="149"/>
      <c r="G8" s="149"/>
      <c r="H8" s="149"/>
      <c r="I8" s="149"/>
      <c r="J8" s="149"/>
      <c r="K8" s="71"/>
      <c r="L8" s="72"/>
    </row>
    <row r="9" spans="1:12" ht="16.5" thickBot="1" x14ac:dyDescent="0.3">
      <c r="A9" s="291" t="s">
        <v>59</v>
      </c>
      <c r="B9" s="148"/>
      <c r="C9" s="148"/>
      <c r="D9" s="148"/>
      <c r="E9" s="148"/>
      <c r="F9" s="148"/>
      <c r="G9" s="148"/>
      <c r="H9" s="148"/>
      <c r="I9" s="148"/>
      <c r="J9" s="148"/>
      <c r="K9" s="73"/>
      <c r="L9" s="74"/>
    </row>
    <row r="10" spans="1:12" ht="18.75" x14ac:dyDescent="0.3">
      <c r="A10" s="101" t="s">
        <v>32</v>
      </c>
      <c r="B10" s="101"/>
      <c r="C10" s="13"/>
      <c r="D10" s="94" t="s">
        <v>19</v>
      </c>
      <c r="E10" s="95">
        <v>2024</v>
      </c>
      <c r="F10" s="102" t="s">
        <v>29</v>
      </c>
      <c r="G10" s="103">
        <v>30</v>
      </c>
      <c r="H10" s="16"/>
      <c r="I10" s="17">
        <v>7</v>
      </c>
      <c r="J10" s="17">
        <v>1</v>
      </c>
      <c r="K10" s="17">
        <v>2</v>
      </c>
      <c r="L10" s="17">
        <v>3</v>
      </c>
    </row>
    <row r="11" spans="1:12" ht="18.75" x14ac:dyDescent="0.3">
      <c r="A11" s="104" t="s">
        <v>20</v>
      </c>
      <c r="B11" s="158" t="s">
        <v>44</v>
      </c>
      <c r="C11" s="157"/>
      <c r="D11" s="156" t="s">
        <v>45</v>
      </c>
      <c r="E11" s="105"/>
      <c r="F11" s="106" t="s">
        <v>28</v>
      </c>
      <c r="G11" s="102">
        <v>15</v>
      </c>
      <c r="H11" s="11"/>
      <c r="I11" s="18">
        <v>1</v>
      </c>
      <c r="J11" s="18">
        <v>2</v>
      </c>
      <c r="K11" s="18">
        <v>3</v>
      </c>
      <c r="L11" s="18">
        <v>4</v>
      </c>
    </row>
    <row r="12" spans="1:12" ht="9" customHeight="1" x14ac:dyDescent="0.25">
      <c r="A12" s="107"/>
      <c r="B12" s="108"/>
      <c r="C12" s="107"/>
      <c r="D12" s="108"/>
      <c r="E12" s="107"/>
      <c r="F12" s="108" t="s">
        <v>6</v>
      </c>
      <c r="G12" s="11"/>
      <c r="H12" s="11"/>
      <c r="I12" s="12"/>
      <c r="J12" s="12"/>
      <c r="K12" s="12"/>
      <c r="L12" s="12"/>
    </row>
    <row r="13" spans="1:12" ht="15" customHeight="1" x14ac:dyDescent="0.25">
      <c r="A13" s="96" t="s">
        <v>23</v>
      </c>
      <c r="B13" s="150" t="s">
        <v>30</v>
      </c>
      <c r="C13" s="151" t="s">
        <v>26</v>
      </c>
      <c r="D13" s="150" t="s">
        <v>22</v>
      </c>
      <c r="E13" s="151" t="s">
        <v>27</v>
      </c>
      <c r="F13" s="152" t="s">
        <v>21</v>
      </c>
      <c r="G13" s="153" t="s">
        <v>38</v>
      </c>
      <c r="H13" s="12"/>
      <c r="I13" s="109"/>
      <c r="J13" s="109"/>
      <c r="K13" s="109"/>
      <c r="L13" s="109"/>
    </row>
    <row r="14" spans="1:12" x14ac:dyDescent="0.25">
      <c r="A14" s="82" t="s">
        <v>34</v>
      </c>
      <c r="B14" s="90">
        <v>500</v>
      </c>
      <c r="C14" s="91">
        <v>3</v>
      </c>
      <c r="D14" s="97">
        <v>400</v>
      </c>
      <c r="E14" s="121">
        <v>4</v>
      </c>
      <c r="F14" s="84">
        <v>100</v>
      </c>
      <c r="G14" s="155">
        <v>0.8</v>
      </c>
      <c r="H14" s="14"/>
      <c r="I14" s="143">
        <v>0</v>
      </c>
      <c r="J14" s="143">
        <v>0</v>
      </c>
      <c r="K14" s="111" t="s">
        <v>36</v>
      </c>
      <c r="L14" s="111">
        <v>400</v>
      </c>
    </row>
    <row r="15" spans="1:12" x14ac:dyDescent="0.25">
      <c r="A15" s="82" t="s">
        <v>35</v>
      </c>
      <c r="B15" s="90">
        <v>200</v>
      </c>
      <c r="C15" s="91">
        <v>4</v>
      </c>
      <c r="D15" s="97"/>
      <c r="E15" s="98"/>
      <c r="F15" s="84">
        <v>200</v>
      </c>
      <c r="G15" s="1">
        <v>0</v>
      </c>
      <c r="H15" s="14"/>
      <c r="I15" s="143">
        <v>0</v>
      </c>
      <c r="J15" s="143">
        <v>0</v>
      </c>
      <c r="K15" s="111">
        <v>0</v>
      </c>
      <c r="L15" s="111" t="s">
        <v>37</v>
      </c>
    </row>
    <row r="16" spans="1:12" ht="15.75" thickBot="1" x14ac:dyDescent="0.3">
      <c r="A16" s="82"/>
      <c r="B16" s="90"/>
      <c r="C16" s="91"/>
      <c r="D16" s="97"/>
      <c r="E16" s="98"/>
      <c r="F16" s="84">
        <v>0</v>
      </c>
      <c r="G16" s="1" t="s">
        <v>24</v>
      </c>
      <c r="H16" s="14"/>
      <c r="I16" s="143">
        <v>0</v>
      </c>
      <c r="J16" s="143">
        <v>0</v>
      </c>
      <c r="K16" s="111">
        <v>0</v>
      </c>
      <c r="L16" s="111">
        <v>0</v>
      </c>
    </row>
    <row r="17" spans="1:12" ht="15.75" x14ac:dyDescent="0.25">
      <c r="A17" s="144" t="s">
        <v>60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70"/>
    </row>
    <row r="18" spans="1:12" ht="15.75" x14ac:dyDescent="0.25">
      <c r="A18" s="146" t="s">
        <v>61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2"/>
    </row>
    <row r="19" spans="1:12" ht="15.75" x14ac:dyDescent="0.25">
      <c r="A19" s="146" t="s">
        <v>62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2"/>
    </row>
    <row r="20" spans="1:12" ht="15.75" x14ac:dyDescent="0.25">
      <c r="A20" s="146" t="s">
        <v>63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2"/>
    </row>
    <row r="21" spans="1:12" ht="16.5" thickBot="1" x14ac:dyDescent="0.3">
      <c r="A21" s="147" t="s">
        <v>48</v>
      </c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4"/>
    </row>
    <row r="22" spans="1:12" x14ac:dyDescent="0.25">
      <c r="A22" s="82"/>
      <c r="B22" s="90"/>
      <c r="C22" s="91"/>
      <c r="D22" s="97"/>
      <c r="E22" s="98"/>
      <c r="F22" s="84">
        <v>0</v>
      </c>
      <c r="G22" s="1" t="s">
        <v>24</v>
      </c>
      <c r="H22" s="14"/>
      <c r="I22" s="143">
        <v>0</v>
      </c>
      <c r="J22" s="143">
        <v>0</v>
      </c>
      <c r="K22" s="111">
        <v>0</v>
      </c>
      <c r="L22" s="111">
        <v>0</v>
      </c>
    </row>
    <row r="23" spans="1:12" x14ac:dyDescent="0.25">
      <c r="A23" s="82"/>
      <c r="B23" s="90"/>
      <c r="C23" s="91"/>
      <c r="D23" s="97"/>
      <c r="E23" s="98"/>
      <c r="F23" s="84">
        <v>0</v>
      </c>
      <c r="G23" s="1" t="s">
        <v>24</v>
      </c>
      <c r="H23" s="14"/>
      <c r="I23" s="143">
        <v>0</v>
      </c>
      <c r="J23" s="143">
        <v>0</v>
      </c>
      <c r="K23" s="111">
        <v>0</v>
      </c>
      <c r="L23" s="111">
        <v>0</v>
      </c>
    </row>
    <row r="24" spans="1:12" x14ac:dyDescent="0.25">
      <c r="A24" s="82"/>
      <c r="B24" s="90"/>
      <c r="C24" s="91"/>
      <c r="D24" s="97"/>
      <c r="E24" s="98"/>
      <c r="F24" s="84">
        <v>0</v>
      </c>
      <c r="G24" s="1" t="s">
        <v>24</v>
      </c>
      <c r="H24" s="14"/>
      <c r="I24" s="143">
        <v>0</v>
      </c>
      <c r="J24" s="143">
        <v>0</v>
      </c>
      <c r="K24" s="111">
        <v>0</v>
      </c>
      <c r="L24" s="111">
        <v>0</v>
      </c>
    </row>
    <row r="25" spans="1:12" x14ac:dyDescent="0.25">
      <c r="A25" s="83"/>
      <c r="B25" s="92"/>
      <c r="C25" s="93"/>
      <c r="D25" s="97"/>
      <c r="E25" s="98"/>
      <c r="F25" s="84">
        <v>0</v>
      </c>
      <c r="G25" s="1" t="s">
        <v>24</v>
      </c>
      <c r="H25" s="14"/>
      <c r="I25" s="143">
        <v>0</v>
      </c>
      <c r="J25" s="143">
        <v>0</v>
      </c>
      <c r="K25" s="111">
        <v>0</v>
      </c>
      <c r="L25" s="111">
        <v>0</v>
      </c>
    </row>
    <row r="26" spans="1:12" ht="15.75" thickBot="1" x14ac:dyDescent="0.3">
      <c r="A26" s="112" t="s">
        <v>18</v>
      </c>
      <c r="B26" s="6">
        <v>700</v>
      </c>
      <c r="C26" s="81"/>
      <c r="D26" s="6">
        <v>400</v>
      </c>
      <c r="E26" s="81"/>
      <c r="F26" s="6">
        <v>300</v>
      </c>
      <c r="G26" s="3">
        <v>0.5714285714285714</v>
      </c>
      <c r="H26" s="5"/>
      <c r="I26" s="2">
        <v>0</v>
      </c>
      <c r="J26" s="2">
        <v>0</v>
      </c>
      <c r="K26" s="2">
        <v>500</v>
      </c>
      <c r="L26" s="2">
        <v>200</v>
      </c>
    </row>
    <row r="27" spans="1:12" ht="18.75" x14ac:dyDescent="0.3">
      <c r="A27" s="144" t="s">
        <v>64</v>
      </c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8"/>
    </row>
    <row r="28" spans="1:12" ht="15.75" customHeight="1" thickBot="1" x14ac:dyDescent="0.35">
      <c r="A28" s="147" t="s">
        <v>40</v>
      </c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20"/>
    </row>
    <row r="29" spans="1:12" ht="16.5" thickBot="1" x14ac:dyDescent="0.3">
      <c r="A29" s="154"/>
      <c r="B29" s="154"/>
      <c r="C29" s="154"/>
      <c r="D29" s="154"/>
      <c r="E29" s="75"/>
      <c r="F29" s="75"/>
      <c r="G29" s="75"/>
      <c r="H29" s="75"/>
      <c r="I29" s="75"/>
      <c r="J29" s="75"/>
      <c r="K29" s="75"/>
      <c r="L29" s="75"/>
    </row>
    <row r="30" spans="1:12" ht="16.5" thickTop="1" thickBot="1" x14ac:dyDescent="0.3">
      <c r="A30" s="185" t="s">
        <v>39</v>
      </c>
      <c r="B30" s="197" t="s">
        <v>79</v>
      </c>
      <c r="C30" s="206" t="s">
        <v>80</v>
      </c>
      <c r="D30" s="205" t="s">
        <v>220</v>
      </c>
      <c r="E30" s="215">
        <v>0.5</v>
      </c>
      <c r="F30" s="204" t="s">
        <v>132</v>
      </c>
      <c r="G30" s="216">
        <v>0</v>
      </c>
      <c r="H30" s="200"/>
      <c r="I30" s="183"/>
      <c r="J30" s="183"/>
      <c r="K30" s="183"/>
      <c r="L30" s="183"/>
    </row>
    <row r="31" spans="1:12" ht="17.25" thickTop="1" thickBot="1" x14ac:dyDescent="0.3">
      <c r="A31" s="192" t="s">
        <v>81</v>
      </c>
      <c r="B31" s="198">
        <v>45000</v>
      </c>
      <c r="C31" s="217" t="s">
        <v>134</v>
      </c>
      <c r="D31" s="214">
        <v>2000</v>
      </c>
      <c r="E31" s="202" t="s">
        <v>82</v>
      </c>
      <c r="F31" s="203" t="s">
        <v>77</v>
      </c>
      <c r="G31" s="193"/>
      <c r="H31" s="113"/>
      <c r="I31" s="143">
        <v>1000</v>
      </c>
      <c r="J31" s="143">
        <v>0</v>
      </c>
      <c r="K31" s="111">
        <v>2000</v>
      </c>
      <c r="L31" s="111">
        <v>2000</v>
      </c>
    </row>
    <row r="32" spans="1:12" ht="15.75" thickTop="1" x14ac:dyDescent="0.25">
      <c r="A32" s="212"/>
      <c r="B32" s="88"/>
      <c r="C32" s="89"/>
      <c r="D32" s="100"/>
      <c r="E32" s="121"/>
      <c r="F32" s="84">
        <v>0</v>
      </c>
      <c r="G32" s="85"/>
      <c r="H32" s="114"/>
      <c r="I32" s="143">
        <v>0</v>
      </c>
      <c r="J32" s="143">
        <v>0</v>
      </c>
      <c r="K32" s="111">
        <v>0</v>
      </c>
      <c r="L32" s="111">
        <v>0</v>
      </c>
    </row>
    <row r="33" spans="1:12" ht="15.75" thickBot="1" x14ac:dyDescent="0.3">
      <c r="A33" s="212"/>
      <c r="B33" s="90"/>
      <c r="C33" s="91"/>
      <c r="D33" s="97"/>
      <c r="E33" s="121"/>
      <c r="F33" s="84">
        <v>0</v>
      </c>
      <c r="G33" s="86"/>
      <c r="H33" s="114"/>
      <c r="I33" s="143">
        <v>0</v>
      </c>
      <c r="J33" s="143">
        <v>0</v>
      </c>
      <c r="K33" s="111">
        <v>0</v>
      </c>
      <c r="L33" s="111">
        <v>0</v>
      </c>
    </row>
    <row r="34" spans="1:12" ht="15.75" x14ac:dyDescent="0.25">
      <c r="A34" s="144" t="s">
        <v>221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0"/>
    </row>
    <row r="35" spans="1:12" ht="15.75" x14ac:dyDescent="0.25">
      <c r="A35" s="146" t="s">
        <v>65</v>
      </c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72"/>
    </row>
    <row r="36" spans="1:12" ht="15.75" x14ac:dyDescent="0.25">
      <c r="A36" s="146" t="s">
        <v>222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72"/>
    </row>
    <row r="37" spans="1:12" ht="15.75" x14ac:dyDescent="0.25">
      <c r="A37" s="167" t="s">
        <v>70</v>
      </c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72"/>
    </row>
    <row r="38" spans="1:12" ht="15.75" x14ac:dyDescent="0.25">
      <c r="A38" s="168" t="s">
        <v>133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72"/>
    </row>
    <row r="39" spans="1:12" ht="15.75" x14ac:dyDescent="0.25">
      <c r="A39" s="167" t="s">
        <v>71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72"/>
    </row>
    <row r="40" spans="1:12" ht="15.75" x14ac:dyDescent="0.25">
      <c r="A40" s="167" t="s">
        <v>66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72"/>
    </row>
    <row r="41" spans="1:12" ht="15.75" x14ac:dyDescent="0.25">
      <c r="A41" s="146" t="s">
        <v>67</v>
      </c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72"/>
    </row>
    <row r="42" spans="1:12" ht="15.75" x14ac:dyDescent="0.25">
      <c r="A42" s="146" t="s">
        <v>219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8"/>
    </row>
    <row r="43" spans="1:12" ht="16.5" thickBot="1" x14ac:dyDescent="0.3">
      <c r="A43" s="147" t="s">
        <v>47</v>
      </c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8"/>
    </row>
    <row r="44" spans="1:12" x14ac:dyDescent="0.25">
      <c r="A44" s="96" t="s">
        <v>41</v>
      </c>
      <c r="B44" s="109"/>
      <c r="C44" s="109"/>
      <c r="D44" s="109"/>
      <c r="E44" s="109"/>
      <c r="F44" s="109"/>
      <c r="G44" s="109"/>
      <c r="H44" s="11"/>
      <c r="I44" s="109"/>
      <c r="J44" s="109"/>
      <c r="K44" s="109"/>
      <c r="L44" s="109"/>
    </row>
    <row r="45" spans="1:12" ht="17.25" customHeight="1" x14ac:dyDescent="0.25">
      <c r="A45" s="82" t="s">
        <v>42</v>
      </c>
      <c r="B45" s="90">
        <v>500</v>
      </c>
      <c r="C45" s="91">
        <v>18</v>
      </c>
      <c r="D45" s="97"/>
      <c r="E45" s="99"/>
      <c r="F45" s="84">
        <v>0</v>
      </c>
      <c r="G45" s="1">
        <v>0</v>
      </c>
      <c r="H45" s="14"/>
      <c r="I45" s="220">
        <v>0</v>
      </c>
      <c r="J45" s="220">
        <v>0</v>
      </c>
      <c r="K45" s="111">
        <v>0</v>
      </c>
      <c r="L45" s="111">
        <v>0</v>
      </c>
    </row>
    <row r="46" spans="1:12" x14ac:dyDescent="0.25">
      <c r="A46" s="82" t="s">
        <v>43</v>
      </c>
      <c r="B46" s="90">
        <v>500</v>
      </c>
      <c r="C46" s="91">
        <v>1</v>
      </c>
      <c r="D46" s="97"/>
      <c r="E46" s="99"/>
      <c r="F46" s="84">
        <v>500</v>
      </c>
      <c r="G46" s="1">
        <v>0</v>
      </c>
      <c r="H46" s="14"/>
      <c r="I46" s="220" t="s">
        <v>36</v>
      </c>
      <c r="J46" s="220">
        <v>0</v>
      </c>
      <c r="K46" s="111">
        <v>0</v>
      </c>
      <c r="L46" s="111">
        <v>0</v>
      </c>
    </row>
    <row r="47" spans="1:12" ht="15.75" thickBot="1" x14ac:dyDescent="0.3">
      <c r="A47" s="82"/>
      <c r="B47" s="90"/>
      <c r="C47" s="91"/>
      <c r="D47" s="97"/>
      <c r="E47" s="99"/>
      <c r="F47" s="84">
        <v>0</v>
      </c>
      <c r="G47" s="1" t="s">
        <v>24</v>
      </c>
      <c r="H47" s="14"/>
      <c r="I47" s="220">
        <v>0</v>
      </c>
      <c r="J47" s="220">
        <v>0</v>
      </c>
      <c r="K47" s="111">
        <v>0</v>
      </c>
      <c r="L47" s="111">
        <v>0</v>
      </c>
    </row>
    <row r="48" spans="1:12" ht="18.75" x14ac:dyDescent="0.3">
      <c r="A48" s="144" t="s">
        <v>223</v>
      </c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8"/>
    </row>
    <row r="49" spans="1:12" ht="19.5" thickBot="1" x14ac:dyDescent="0.35">
      <c r="A49" s="147" t="s">
        <v>224</v>
      </c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20"/>
    </row>
    <row r="50" spans="1:12" ht="18.75" x14ac:dyDescent="0.3">
      <c r="A50" s="270"/>
      <c r="B50" s="273" t="s">
        <v>209</v>
      </c>
      <c r="C50" s="273"/>
      <c r="D50" s="273"/>
      <c r="E50" s="273"/>
      <c r="F50" s="273"/>
      <c r="G50" s="273"/>
      <c r="H50" s="273"/>
      <c r="I50" s="273"/>
      <c r="J50" s="273"/>
      <c r="K50" s="271"/>
      <c r="L50" s="272"/>
    </row>
    <row r="51" spans="1:12" ht="18.75" x14ac:dyDescent="0.3">
      <c r="A51" s="270"/>
      <c r="B51" s="271" t="s">
        <v>210</v>
      </c>
      <c r="C51" s="271"/>
      <c r="D51" s="271"/>
      <c r="E51" s="271"/>
      <c r="F51" s="271"/>
      <c r="G51" s="271"/>
      <c r="H51" s="271"/>
      <c r="I51" s="271"/>
      <c r="J51" s="271"/>
      <c r="K51" s="271"/>
      <c r="L51" s="272"/>
    </row>
    <row r="52" spans="1:12" ht="18.75" x14ac:dyDescent="0.3">
      <c r="A52" s="270"/>
      <c r="B52" s="271" t="s">
        <v>211</v>
      </c>
      <c r="C52" s="271"/>
      <c r="D52" s="271"/>
      <c r="E52" s="271"/>
      <c r="F52" s="271"/>
      <c r="G52" s="271"/>
      <c r="H52" s="271"/>
      <c r="I52" s="271"/>
      <c r="J52" s="271"/>
      <c r="K52" s="271"/>
      <c r="L52" s="272"/>
    </row>
    <row r="53" spans="1:12" ht="18.75" x14ac:dyDescent="0.3">
      <c r="A53" s="71"/>
      <c r="B53" s="209" t="s">
        <v>225</v>
      </c>
      <c r="C53" s="71"/>
      <c r="D53" s="71"/>
      <c r="E53" s="71"/>
      <c r="F53" s="71"/>
      <c r="G53" s="71"/>
      <c r="H53" s="71"/>
      <c r="I53" s="71"/>
      <c r="J53" s="71"/>
      <c r="K53" s="71"/>
      <c r="L53" s="71"/>
    </row>
    <row r="54" spans="1:12" ht="18.75" x14ac:dyDescent="0.3">
      <c r="A54" s="71"/>
      <c r="B54" s="209" t="s">
        <v>226</v>
      </c>
      <c r="C54" s="71"/>
      <c r="D54" s="71"/>
      <c r="E54" s="71"/>
      <c r="F54" s="71"/>
      <c r="G54" s="71"/>
      <c r="H54" s="71"/>
      <c r="I54" s="71"/>
      <c r="J54" s="71"/>
      <c r="K54" s="71"/>
      <c r="L54" s="71"/>
    </row>
    <row r="55" spans="1:12" x14ac:dyDescent="0.2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</row>
    <row r="56" spans="1:12" ht="18.75" x14ac:dyDescent="0.3">
      <c r="A56" s="71"/>
      <c r="B56" s="208" t="s">
        <v>88</v>
      </c>
      <c r="C56" s="207"/>
      <c r="D56" s="207"/>
      <c r="E56" s="207"/>
      <c r="F56" s="207"/>
      <c r="G56" s="207"/>
      <c r="H56" s="207"/>
      <c r="I56" s="207"/>
      <c r="J56" s="207"/>
      <c r="K56" s="71"/>
      <c r="L56" s="71"/>
    </row>
    <row r="57" spans="1:12" ht="18.75" x14ac:dyDescent="0.3">
      <c r="A57" s="71"/>
      <c r="B57" s="209" t="s">
        <v>89</v>
      </c>
      <c r="C57" s="71"/>
      <c r="D57" s="71"/>
      <c r="E57" s="71"/>
      <c r="F57" s="71"/>
      <c r="G57" s="71"/>
      <c r="H57" s="71"/>
      <c r="I57" s="71"/>
      <c r="J57" s="71"/>
      <c r="K57" s="71"/>
      <c r="L57" s="71"/>
    </row>
    <row r="58" spans="1:12" ht="18.75" x14ac:dyDescent="0.3">
      <c r="A58" s="71"/>
      <c r="B58" s="209" t="s">
        <v>106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</row>
    <row r="59" spans="1:12" ht="18.75" x14ac:dyDescent="0.3">
      <c r="A59" s="71"/>
      <c r="B59" s="209" t="s">
        <v>105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</row>
    <row r="60" spans="1:12" ht="18.75" x14ac:dyDescent="0.3">
      <c r="A60" s="71"/>
      <c r="B60" s="209" t="s">
        <v>90</v>
      </c>
      <c r="C60" s="71"/>
      <c r="D60" s="71"/>
      <c r="E60" s="71"/>
      <c r="F60" s="71"/>
      <c r="G60" s="71"/>
      <c r="H60" s="71"/>
      <c r="I60" s="71"/>
      <c r="J60" s="71"/>
      <c r="K60" s="71"/>
      <c r="L60" s="71"/>
    </row>
    <row r="61" spans="1:12" ht="18.75" x14ac:dyDescent="0.3">
      <c r="A61" s="71"/>
      <c r="B61" s="209" t="s">
        <v>227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</row>
    <row r="62" spans="1:12" ht="18.75" x14ac:dyDescent="0.3">
      <c r="A62" s="71"/>
      <c r="B62" s="209" t="s">
        <v>228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</row>
    <row r="63" spans="1:12" ht="18.75" x14ac:dyDescent="0.3">
      <c r="A63" s="71"/>
      <c r="B63" s="209"/>
      <c r="C63" s="71"/>
      <c r="D63" s="71"/>
      <c r="E63" s="71"/>
      <c r="F63" s="71"/>
      <c r="G63" s="71"/>
      <c r="H63" s="71"/>
      <c r="I63" s="71"/>
      <c r="J63" s="71"/>
      <c r="K63" s="71"/>
      <c r="L63" s="71"/>
    </row>
    <row r="64" spans="1:12" ht="18.75" x14ac:dyDescent="0.3">
      <c r="A64" s="71"/>
      <c r="B64" s="208" t="s">
        <v>91</v>
      </c>
      <c r="C64" s="207"/>
      <c r="D64" s="207"/>
      <c r="E64" s="207"/>
      <c r="F64" s="207"/>
      <c r="G64" s="207"/>
      <c r="H64" s="207"/>
      <c r="I64" s="207"/>
      <c r="J64" s="207"/>
      <c r="K64" s="71"/>
      <c r="L64" s="71"/>
    </row>
    <row r="65" spans="1:12" ht="18.75" x14ac:dyDescent="0.3">
      <c r="A65" s="71"/>
      <c r="B65" s="209" t="s">
        <v>92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</row>
    <row r="66" spans="1:12" ht="18.75" x14ac:dyDescent="0.3">
      <c r="A66" s="71"/>
      <c r="B66" s="209" t="s">
        <v>128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</row>
    <row r="67" spans="1:12" ht="18.75" x14ac:dyDescent="0.3">
      <c r="A67" s="71"/>
      <c r="B67" s="209" t="s">
        <v>129</v>
      </c>
      <c r="C67" s="71"/>
      <c r="D67" s="71"/>
      <c r="E67" s="71"/>
      <c r="F67" s="71"/>
      <c r="G67" s="71"/>
      <c r="H67" s="71"/>
      <c r="I67" s="71"/>
      <c r="J67" s="71"/>
      <c r="K67" s="71"/>
      <c r="L67" s="71"/>
    </row>
    <row r="68" spans="1:12" ht="18.75" x14ac:dyDescent="0.3">
      <c r="A68" s="71"/>
      <c r="B68" s="209" t="s">
        <v>130</v>
      </c>
      <c r="C68" s="71"/>
      <c r="D68" s="71"/>
      <c r="E68" s="71"/>
      <c r="F68" s="71"/>
      <c r="G68" s="71"/>
      <c r="H68" s="71"/>
      <c r="I68" s="71"/>
      <c r="J68" s="71"/>
      <c r="K68" s="71"/>
      <c r="L68" s="71"/>
    </row>
    <row r="69" spans="1:12" ht="18.75" x14ac:dyDescent="0.3">
      <c r="A69" s="71"/>
      <c r="B69" s="209" t="s">
        <v>93</v>
      </c>
      <c r="C69" s="71"/>
      <c r="D69" s="71"/>
      <c r="E69" s="71"/>
      <c r="F69" s="71"/>
      <c r="G69" s="71"/>
      <c r="H69" s="71"/>
      <c r="I69" s="71"/>
      <c r="J69" s="71"/>
      <c r="K69" s="71"/>
      <c r="L69" s="71"/>
    </row>
    <row r="70" spans="1:12" ht="18.75" x14ac:dyDescent="0.3">
      <c r="A70" s="71"/>
      <c r="B70" s="209" t="s">
        <v>78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</row>
    <row r="71" spans="1:12" ht="18.75" x14ac:dyDescent="0.3">
      <c r="A71" s="71"/>
      <c r="B71" s="209" t="s">
        <v>131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</row>
    <row r="72" spans="1:12" ht="18.75" x14ac:dyDescent="0.3">
      <c r="A72" s="71"/>
      <c r="B72" s="209"/>
      <c r="C72" s="71"/>
      <c r="D72" s="71"/>
      <c r="E72" s="71"/>
      <c r="F72" s="71"/>
      <c r="G72" s="71"/>
      <c r="H72" s="71"/>
      <c r="I72" s="71"/>
      <c r="J72" s="71"/>
      <c r="K72" s="71"/>
      <c r="L72" s="71"/>
    </row>
    <row r="73" spans="1:12" ht="18.75" x14ac:dyDescent="0.3">
      <c r="A73" s="71"/>
      <c r="B73" s="208" t="s">
        <v>94</v>
      </c>
      <c r="C73" s="207"/>
      <c r="D73" s="207"/>
      <c r="E73" s="207"/>
      <c r="F73" s="207"/>
      <c r="G73" s="207"/>
      <c r="H73" s="207"/>
      <c r="I73" s="207"/>
      <c r="J73" s="207"/>
      <c r="K73" s="71"/>
      <c r="L73" s="71"/>
    </row>
    <row r="74" spans="1:12" ht="18.75" x14ac:dyDescent="0.3">
      <c r="A74" s="71"/>
      <c r="B74" s="209" t="s">
        <v>95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</row>
    <row r="75" spans="1:12" ht="18.75" x14ac:dyDescent="0.3">
      <c r="A75" s="71"/>
      <c r="B75" s="209" t="s">
        <v>107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</row>
    <row r="76" spans="1:12" ht="18.75" x14ac:dyDescent="0.3">
      <c r="A76" s="71"/>
      <c r="B76" s="209" t="s">
        <v>108</v>
      </c>
      <c r="C76" s="71"/>
      <c r="D76" s="71"/>
      <c r="E76" s="71"/>
      <c r="F76" s="71"/>
      <c r="G76" s="71"/>
      <c r="H76" s="71"/>
      <c r="I76" s="71"/>
      <c r="J76" s="71"/>
      <c r="K76" s="71"/>
      <c r="L76" s="71"/>
    </row>
    <row r="77" spans="1:12" ht="18.75" x14ac:dyDescent="0.3">
      <c r="A77" s="71"/>
      <c r="B77" s="209" t="s">
        <v>96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</row>
    <row r="78" spans="1:12" ht="18.75" x14ac:dyDescent="0.3">
      <c r="A78" s="71"/>
      <c r="B78" s="209" t="s">
        <v>109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</row>
    <row r="79" spans="1:12" ht="18.75" x14ac:dyDescent="0.3">
      <c r="A79" s="71"/>
      <c r="B79" s="209" t="s">
        <v>110</v>
      </c>
      <c r="C79" s="71"/>
      <c r="D79" s="71"/>
      <c r="E79" s="71"/>
      <c r="F79" s="71"/>
      <c r="G79" s="71"/>
      <c r="H79" s="71"/>
      <c r="I79" s="71"/>
      <c r="J79" s="71"/>
      <c r="K79" s="71"/>
      <c r="L79" s="71"/>
    </row>
    <row r="80" spans="1:12" ht="18.75" x14ac:dyDescent="0.3">
      <c r="A80" s="71"/>
      <c r="B80" s="209" t="s">
        <v>111</v>
      </c>
      <c r="C80" s="71"/>
      <c r="D80" s="71"/>
      <c r="E80" s="71"/>
      <c r="F80" s="71"/>
      <c r="G80" s="71"/>
      <c r="H80" s="71"/>
      <c r="I80" s="71"/>
      <c r="J80" s="71"/>
      <c r="K80" s="71"/>
      <c r="L80" s="71"/>
    </row>
    <row r="81" spans="1:12" ht="18.75" x14ac:dyDescent="0.3">
      <c r="A81" s="71"/>
      <c r="B81" s="209" t="s">
        <v>112</v>
      </c>
      <c r="C81" s="71"/>
      <c r="D81" s="71"/>
      <c r="E81" s="71"/>
      <c r="F81" s="71"/>
      <c r="G81" s="71"/>
      <c r="H81" s="71"/>
      <c r="I81" s="71"/>
      <c r="J81" s="71"/>
      <c r="K81" s="71"/>
      <c r="L81" s="71"/>
    </row>
    <row r="82" spans="1:12" ht="18.75" x14ac:dyDescent="0.3">
      <c r="A82" s="71"/>
      <c r="B82" s="209" t="s">
        <v>113</v>
      </c>
      <c r="C82" s="71"/>
      <c r="D82" s="71"/>
      <c r="E82" s="71"/>
      <c r="F82" s="71"/>
      <c r="G82" s="71"/>
      <c r="H82" s="71"/>
      <c r="I82" s="71"/>
      <c r="J82" s="71"/>
      <c r="K82" s="71"/>
      <c r="L82" s="71"/>
    </row>
    <row r="83" spans="1:12" ht="18.75" x14ac:dyDescent="0.3">
      <c r="A83" s="71"/>
      <c r="B83" s="209" t="s">
        <v>114</v>
      </c>
      <c r="C83" s="71"/>
      <c r="D83" s="71"/>
      <c r="E83" s="71"/>
      <c r="F83" s="71"/>
      <c r="G83" s="71"/>
      <c r="H83" s="71"/>
      <c r="I83" s="71"/>
      <c r="J83" s="71"/>
      <c r="K83" s="71"/>
      <c r="L83" s="71"/>
    </row>
    <row r="84" spans="1:12" ht="18.75" x14ac:dyDescent="0.3">
      <c r="A84" s="71"/>
      <c r="B84" s="209" t="s">
        <v>229</v>
      </c>
      <c r="C84" s="71"/>
      <c r="D84" s="71"/>
      <c r="E84" s="71"/>
      <c r="F84" s="71"/>
      <c r="G84" s="71"/>
      <c r="H84" s="71"/>
      <c r="I84" s="71"/>
      <c r="J84" s="71"/>
      <c r="K84" s="71"/>
      <c r="L84" s="71"/>
    </row>
    <row r="85" spans="1:12" ht="18.75" x14ac:dyDescent="0.3">
      <c r="A85" s="71"/>
      <c r="B85" s="209" t="s">
        <v>97</v>
      </c>
      <c r="C85" s="71"/>
      <c r="D85" s="71"/>
      <c r="E85" s="71"/>
      <c r="F85" s="71"/>
      <c r="G85" s="71"/>
      <c r="H85" s="71"/>
      <c r="I85" s="71"/>
      <c r="J85" s="71"/>
      <c r="K85" s="71"/>
      <c r="L85" s="71"/>
    </row>
    <row r="86" spans="1:12" ht="18.75" x14ac:dyDescent="0.3">
      <c r="A86" s="71"/>
      <c r="B86" s="209" t="s">
        <v>115</v>
      </c>
      <c r="C86" s="71"/>
      <c r="D86" s="71"/>
      <c r="E86" s="71"/>
      <c r="F86" s="71"/>
      <c r="G86" s="71"/>
      <c r="H86" s="71"/>
      <c r="I86" s="71"/>
      <c r="J86" s="71"/>
      <c r="K86" s="71"/>
      <c r="L86" s="71"/>
    </row>
    <row r="87" spans="1:12" ht="18.75" x14ac:dyDescent="0.3">
      <c r="A87" s="71"/>
      <c r="B87" s="209"/>
      <c r="C87" s="71"/>
      <c r="D87" s="71"/>
      <c r="E87" s="71"/>
      <c r="F87" s="71"/>
      <c r="G87" s="71"/>
      <c r="H87" s="71"/>
      <c r="I87" s="71"/>
      <c r="J87" s="71"/>
      <c r="K87" s="71"/>
      <c r="L87" s="71"/>
    </row>
    <row r="88" spans="1:12" ht="18.75" x14ac:dyDescent="0.3">
      <c r="A88" s="71"/>
      <c r="B88" s="208" t="s">
        <v>83</v>
      </c>
      <c r="C88" s="207"/>
      <c r="D88" s="207"/>
      <c r="E88" s="207"/>
      <c r="F88" s="207"/>
      <c r="G88" s="207"/>
      <c r="H88" s="207"/>
      <c r="I88" s="207"/>
      <c r="J88" s="207"/>
      <c r="K88" s="71"/>
      <c r="L88" s="71"/>
    </row>
    <row r="89" spans="1:12" ht="18.75" x14ac:dyDescent="0.3">
      <c r="A89" s="71"/>
      <c r="B89" s="209" t="s">
        <v>98</v>
      </c>
      <c r="C89" s="71"/>
      <c r="D89" s="71"/>
      <c r="E89" s="71"/>
      <c r="F89" s="71"/>
      <c r="G89" s="71"/>
      <c r="H89" s="71"/>
      <c r="I89" s="71"/>
      <c r="J89" s="71"/>
      <c r="K89" s="71"/>
      <c r="L89" s="71"/>
    </row>
    <row r="90" spans="1:12" ht="18.75" x14ac:dyDescent="0.3">
      <c r="A90" s="71"/>
      <c r="B90" s="209" t="s">
        <v>127</v>
      </c>
      <c r="C90" s="71"/>
      <c r="D90" s="71"/>
      <c r="E90" s="71"/>
      <c r="F90" s="71"/>
      <c r="G90" s="71"/>
      <c r="H90" s="71"/>
      <c r="I90" s="71"/>
      <c r="J90" s="71"/>
      <c r="K90" s="71"/>
      <c r="L90" s="71"/>
    </row>
    <row r="91" spans="1:12" ht="18.75" x14ac:dyDescent="0.3">
      <c r="A91" s="71"/>
      <c r="B91" s="209" t="s">
        <v>99</v>
      </c>
      <c r="C91" s="71"/>
      <c r="D91" s="71"/>
      <c r="E91" s="71"/>
      <c r="F91" s="71"/>
      <c r="G91" s="71"/>
      <c r="H91" s="71"/>
      <c r="I91" s="71"/>
      <c r="J91" s="71"/>
      <c r="K91" s="71"/>
      <c r="L91" s="71"/>
    </row>
    <row r="92" spans="1:12" ht="18.75" x14ac:dyDescent="0.3">
      <c r="A92" s="71"/>
      <c r="B92" s="209" t="s">
        <v>126</v>
      </c>
      <c r="C92" s="71"/>
      <c r="D92" s="71"/>
      <c r="E92" s="71"/>
      <c r="F92" s="71"/>
      <c r="G92" s="71"/>
      <c r="H92" s="71"/>
      <c r="I92" s="71"/>
      <c r="J92" s="71"/>
      <c r="K92" s="71"/>
      <c r="L92" s="71"/>
    </row>
    <row r="93" spans="1:12" ht="18.75" x14ac:dyDescent="0.3">
      <c r="A93" s="71"/>
      <c r="B93" s="209"/>
      <c r="C93" s="71"/>
      <c r="D93" s="71"/>
      <c r="E93" s="71"/>
      <c r="F93" s="71"/>
      <c r="G93" s="71"/>
      <c r="H93" s="71"/>
      <c r="I93" s="71"/>
      <c r="J93" s="71"/>
      <c r="K93" s="71"/>
      <c r="L93" s="71"/>
    </row>
    <row r="94" spans="1:12" ht="18.75" x14ac:dyDescent="0.3">
      <c r="A94" s="71"/>
      <c r="B94" s="208" t="s">
        <v>100</v>
      </c>
      <c r="C94" s="207"/>
      <c r="D94" s="207"/>
      <c r="E94" s="207"/>
      <c r="F94" s="207"/>
      <c r="G94" s="207"/>
      <c r="H94" s="207"/>
      <c r="I94" s="207"/>
      <c r="J94" s="207"/>
      <c r="K94" s="71"/>
      <c r="L94" s="71"/>
    </row>
    <row r="95" spans="1:12" ht="18.75" x14ac:dyDescent="0.3">
      <c r="A95" s="71"/>
      <c r="B95" s="209" t="s">
        <v>103</v>
      </c>
      <c r="C95" s="71"/>
      <c r="D95" s="71"/>
      <c r="E95" s="71"/>
      <c r="F95" s="71"/>
      <c r="G95" s="71"/>
      <c r="H95" s="71"/>
      <c r="I95" s="71"/>
      <c r="J95" s="71"/>
      <c r="K95" s="71"/>
      <c r="L95" s="71"/>
    </row>
    <row r="96" spans="1:12" ht="18.75" x14ac:dyDescent="0.3">
      <c r="A96" s="71"/>
      <c r="B96" s="209" t="s">
        <v>104</v>
      </c>
      <c r="C96" s="71"/>
      <c r="D96" s="71"/>
      <c r="E96" s="71"/>
      <c r="F96" s="71"/>
      <c r="G96" s="71"/>
      <c r="H96" s="71"/>
      <c r="I96" s="71"/>
      <c r="J96" s="71"/>
      <c r="K96" s="71"/>
      <c r="L96" s="71"/>
    </row>
    <row r="97" spans="1:12" ht="18.75" x14ac:dyDescent="0.3">
      <c r="A97" s="71"/>
      <c r="B97" s="209" t="s">
        <v>84</v>
      </c>
      <c r="C97" s="71"/>
      <c r="D97" s="71"/>
      <c r="E97" s="71"/>
      <c r="F97" s="71"/>
      <c r="G97" s="71"/>
      <c r="H97" s="71"/>
      <c r="I97" s="71"/>
      <c r="J97" s="71"/>
      <c r="K97" s="71"/>
      <c r="L97" s="71"/>
    </row>
    <row r="98" spans="1:12" ht="18.75" x14ac:dyDescent="0.3">
      <c r="A98" s="71"/>
      <c r="B98" s="209" t="s">
        <v>125</v>
      </c>
      <c r="C98" s="71"/>
      <c r="D98" s="71"/>
      <c r="E98" s="71"/>
      <c r="F98" s="71"/>
      <c r="G98" s="71"/>
      <c r="H98" s="71"/>
      <c r="I98" s="71"/>
      <c r="J98" s="71"/>
      <c r="K98" s="71"/>
      <c r="L98" s="71"/>
    </row>
    <row r="99" spans="1:12" ht="18.75" x14ac:dyDescent="0.3">
      <c r="A99" s="71"/>
      <c r="B99" s="209" t="s">
        <v>124</v>
      </c>
      <c r="C99" s="71"/>
      <c r="D99" s="71"/>
      <c r="E99" s="71"/>
      <c r="F99" s="71"/>
      <c r="G99" s="71"/>
      <c r="H99" s="71"/>
      <c r="I99" s="71"/>
      <c r="J99" s="71"/>
      <c r="K99" s="71"/>
      <c r="L99" s="71"/>
    </row>
    <row r="100" spans="1:12" ht="18.75" x14ac:dyDescent="0.3">
      <c r="A100" s="71"/>
      <c r="B100" s="209" t="s">
        <v>101</v>
      </c>
      <c r="C100" s="71"/>
      <c r="D100" s="71"/>
      <c r="E100" s="71"/>
      <c r="F100" s="71"/>
      <c r="G100" s="71"/>
      <c r="H100" s="71"/>
      <c r="I100" s="71"/>
      <c r="J100" s="71"/>
      <c r="K100" s="71"/>
      <c r="L100" s="71"/>
    </row>
    <row r="101" spans="1:12" ht="18.75" x14ac:dyDescent="0.3">
      <c r="A101" s="71"/>
      <c r="B101" s="209" t="s">
        <v>123</v>
      </c>
      <c r="C101" s="71"/>
      <c r="D101" s="71"/>
      <c r="E101" s="71"/>
      <c r="F101" s="71"/>
      <c r="G101" s="71"/>
      <c r="H101" s="71"/>
      <c r="I101" s="71"/>
      <c r="J101" s="71"/>
      <c r="K101" s="71"/>
      <c r="L101" s="71"/>
    </row>
    <row r="102" spans="1:12" ht="18.75" x14ac:dyDescent="0.3">
      <c r="A102" s="71"/>
      <c r="B102" s="209" t="s">
        <v>122</v>
      </c>
      <c r="C102" s="71"/>
      <c r="D102" s="71"/>
      <c r="E102" s="71"/>
      <c r="F102" s="71"/>
      <c r="G102" s="71"/>
      <c r="H102" s="71"/>
      <c r="I102" s="71"/>
      <c r="J102" s="71"/>
      <c r="K102" s="71"/>
      <c r="L102" s="71"/>
    </row>
    <row r="103" spans="1:12" ht="18.75" x14ac:dyDescent="0.3">
      <c r="A103" s="71"/>
      <c r="B103" s="209" t="s">
        <v>85</v>
      </c>
      <c r="C103" s="71"/>
      <c r="D103" s="71"/>
      <c r="E103" s="71"/>
      <c r="F103" s="71"/>
      <c r="G103" s="71"/>
      <c r="H103" s="71"/>
      <c r="I103" s="71"/>
      <c r="J103" s="71"/>
      <c r="K103" s="71"/>
      <c r="L103" s="71"/>
    </row>
    <row r="104" spans="1:12" ht="18.75" x14ac:dyDescent="0.3">
      <c r="A104" s="71"/>
      <c r="B104" s="209" t="s">
        <v>116</v>
      </c>
      <c r="C104" s="71"/>
      <c r="D104" s="71"/>
      <c r="E104" s="71"/>
      <c r="F104" s="71"/>
      <c r="G104" s="71"/>
      <c r="H104" s="71"/>
      <c r="I104" s="71"/>
      <c r="J104" s="71"/>
      <c r="K104" s="71"/>
      <c r="L104" s="71"/>
    </row>
    <row r="105" spans="1:12" ht="18.75" x14ac:dyDescent="0.3">
      <c r="A105" s="71"/>
      <c r="B105" s="209" t="s">
        <v>86</v>
      </c>
      <c r="C105" s="71"/>
      <c r="D105" s="71"/>
      <c r="E105" s="71"/>
      <c r="F105" s="71"/>
      <c r="G105" s="71"/>
      <c r="H105" s="71"/>
      <c r="I105" s="71"/>
      <c r="J105" s="71"/>
      <c r="K105" s="71"/>
      <c r="L105" s="71"/>
    </row>
    <row r="106" spans="1:12" ht="18.75" x14ac:dyDescent="0.3">
      <c r="A106" s="71"/>
      <c r="B106" s="209" t="s">
        <v>117</v>
      </c>
      <c r="C106" s="71"/>
      <c r="D106" s="71"/>
      <c r="E106" s="71"/>
      <c r="F106" s="71"/>
      <c r="G106" s="71"/>
      <c r="H106" s="71"/>
      <c r="I106" s="71"/>
      <c r="J106" s="71"/>
      <c r="K106" s="71"/>
      <c r="L106" s="71"/>
    </row>
    <row r="107" spans="1:12" ht="18.75" x14ac:dyDescent="0.3">
      <c r="A107" s="71"/>
      <c r="B107" s="209" t="s">
        <v>118</v>
      </c>
      <c r="C107" s="71"/>
      <c r="D107" s="71"/>
      <c r="E107" s="71"/>
      <c r="F107" s="71"/>
      <c r="G107" s="71"/>
      <c r="H107" s="71"/>
      <c r="I107" s="71"/>
      <c r="J107" s="71"/>
      <c r="K107" s="71"/>
      <c r="L107" s="71"/>
    </row>
    <row r="108" spans="1:12" ht="18.75" x14ac:dyDescent="0.3">
      <c r="A108" s="71"/>
      <c r="B108" s="209"/>
      <c r="C108" s="71"/>
      <c r="D108" s="71"/>
      <c r="E108" s="71"/>
      <c r="F108" s="71"/>
      <c r="G108" s="71"/>
      <c r="H108" s="71"/>
      <c r="I108" s="71"/>
      <c r="J108" s="71"/>
      <c r="K108" s="71"/>
      <c r="L108" s="71"/>
    </row>
    <row r="109" spans="1:12" ht="18.75" x14ac:dyDescent="0.3">
      <c r="A109" s="71"/>
      <c r="B109" s="208" t="s">
        <v>87</v>
      </c>
      <c r="C109" s="207"/>
      <c r="D109" s="207"/>
      <c r="E109" s="207"/>
      <c r="F109" s="207"/>
      <c r="G109" s="207"/>
      <c r="H109" s="207"/>
      <c r="I109" s="207"/>
      <c r="J109" s="207"/>
      <c r="K109" s="71"/>
      <c r="L109" s="71"/>
    </row>
    <row r="110" spans="1:12" ht="18.75" x14ac:dyDescent="0.3">
      <c r="A110" s="71"/>
      <c r="B110" s="209" t="s">
        <v>230</v>
      </c>
      <c r="C110" s="71"/>
      <c r="D110" s="71"/>
      <c r="E110" s="71"/>
      <c r="F110" s="71"/>
      <c r="G110" s="71"/>
      <c r="H110" s="71"/>
      <c r="I110" s="71"/>
      <c r="J110" s="71"/>
      <c r="K110" s="71"/>
      <c r="L110" s="71"/>
    </row>
    <row r="111" spans="1:12" ht="18.75" x14ac:dyDescent="0.3">
      <c r="A111" s="71"/>
      <c r="B111" s="209" t="s">
        <v>119</v>
      </c>
      <c r="C111" s="71"/>
      <c r="D111" s="71"/>
      <c r="E111" s="71"/>
      <c r="F111" s="71"/>
      <c r="G111" s="71"/>
      <c r="H111" s="71"/>
      <c r="I111" s="71"/>
      <c r="J111" s="71"/>
      <c r="K111" s="71"/>
      <c r="L111" s="71"/>
    </row>
    <row r="112" spans="1:12" ht="18.75" x14ac:dyDescent="0.3">
      <c r="A112" s="71"/>
      <c r="B112" s="209" t="s">
        <v>120</v>
      </c>
      <c r="C112" s="71"/>
      <c r="D112" s="71"/>
      <c r="E112" s="71"/>
      <c r="F112" s="71"/>
      <c r="G112" s="71"/>
      <c r="H112" s="71"/>
      <c r="I112" s="71"/>
      <c r="J112" s="71"/>
      <c r="K112" s="71"/>
      <c r="L112" s="71"/>
    </row>
    <row r="113" spans="1:12" ht="18.75" x14ac:dyDescent="0.3">
      <c r="A113" s="71"/>
      <c r="B113" s="209" t="s">
        <v>102</v>
      </c>
      <c r="C113" s="71"/>
      <c r="D113" s="71"/>
      <c r="E113" s="71"/>
      <c r="F113" s="71"/>
      <c r="G113" s="71"/>
      <c r="H113" s="71"/>
      <c r="I113" s="71"/>
      <c r="J113" s="71"/>
      <c r="K113" s="71"/>
      <c r="L113" s="71"/>
    </row>
    <row r="114" spans="1:12" ht="18.75" x14ac:dyDescent="0.3">
      <c r="A114" s="71"/>
      <c r="B114" s="209" t="s">
        <v>121</v>
      </c>
      <c r="C114" s="71"/>
      <c r="D114" s="71"/>
      <c r="E114" s="71"/>
      <c r="F114" s="71"/>
      <c r="G114" s="71"/>
      <c r="H114" s="71"/>
      <c r="I114" s="71"/>
      <c r="J114" s="71"/>
      <c r="K114" s="71"/>
      <c r="L114" s="71"/>
    </row>
    <row r="115" spans="1:12" x14ac:dyDescent="0.2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</row>
    <row r="116" spans="1:12" x14ac:dyDescent="0.25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</row>
  </sheetData>
  <conditionalFormatting sqref="G14:G16">
    <cfRule type="cellIs" dxfId="10" priority="11" operator="equal">
      <formula>0</formula>
    </cfRule>
  </conditionalFormatting>
  <conditionalFormatting sqref="G22:G25">
    <cfRule type="cellIs" dxfId="9" priority="8" operator="lessThan">
      <formula>1</formula>
    </cfRule>
  </conditionalFormatting>
  <conditionalFormatting sqref="G22:G26">
    <cfRule type="cellIs" dxfId="8" priority="9" operator="equal">
      <formula>0</formula>
    </cfRule>
  </conditionalFormatting>
  <conditionalFormatting sqref="G45:G47">
    <cfRule type="cellIs" dxfId="7" priority="4" operator="lessThan">
      <formula>1</formula>
    </cfRule>
    <cfRule type="cellIs" dxfId="6" priority="5" operator="equal">
      <formula>0</formula>
    </cfRule>
  </conditionalFormatting>
  <conditionalFormatting sqref="I14:L16">
    <cfRule type="expression" dxfId="5" priority="12">
      <formula>OR(I$252=6,I$252=7)</formula>
    </cfRule>
  </conditionalFormatting>
  <conditionalFormatting sqref="I22:L25">
    <cfRule type="expression" dxfId="4" priority="10">
      <formula>OR(I$256=6,I$256=7)</formula>
    </cfRule>
  </conditionalFormatting>
  <conditionalFormatting sqref="I31:L33">
    <cfRule type="expression" dxfId="3" priority="1">
      <formula>OR(I$259=6,I$259=7)</formula>
    </cfRule>
  </conditionalFormatting>
  <conditionalFormatting sqref="I45:L47">
    <cfRule type="expression" dxfId="2" priority="6">
      <formula>OR(I$264=6,I$264=7)</formula>
    </cfRule>
  </conditionalFormatting>
  <pageMargins left="0.23622047244094491" right="0.23622047244094491" top="0.19685039370078741" bottom="0.19685039370078741" header="0" footer="0"/>
  <pageSetup paperSize="9" scale="74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DESP_JANEIRO</vt:lpstr>
      <vt:lpstr>PLAN2</vt:lpstr>
      <vt:lpstr>TUTORIAL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Claudio Scaglione</cp:lastModifiedBy>
  <cp:lastPrinted>2026-01-12T22:31:45Z</cp:lastPrinted>
  <dcterms:created xsi:type="dcterms:W3CDTF">2021-07-16T00:08:55Z</dcterms:created>
  <dcterms:modified xsi:type="dcterms:W3CDTF">2026-01-13T03:42:16Z</dcterms:modified>
</cp:coreProperties>
</file>